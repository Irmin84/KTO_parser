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0" yWindow="0" windowWidth="20460" windowHeight="6255" tabRatio="758"/>
  </bookViews>
  <sheets>
    <sheet name="Титульный лист" sheetId="1" r:id="rId1"/>
    <sheet name="Контрольная карта" sheetId="2" r:id="rId2"/>
    <sheet name="ЭПУ" sheetId="3" r:id="rId3"/>
    <sheet name="ЭПУ (2)" sheetId="6" r:id="rId4"/>
    <sheet name="ЭПУ (3)" sheetId="83" r:id="rId5"/>
    <sheet name="ЭПУ (4)" sheetId="84" state="hidden" r:id="rId6"/>
    <sheet name="ЭПУ (5)" sheetId="85" state="hidden" r:id="rId7"/>
    <sheet name="ЭПУ (6)" sheetId="86" state="hidden" r:id="rId8"/>
    <sheet name="ЭПУ (7)" sheetId="87" state="hidden" r:id="rId9"/>
    <sheet name="ЭПУ (8)" sheetId="88" state="hidden" r:id="rId10"/>
    <sheet name="ЭПУ (9)" sheetId="89" state="hidden" r:id="rId11"/>
    <sheet name="ЭПУ (10)" sheetId="90" state="hidden" r:id="rId12"/>
    <sheet name="Сухие контакты" sheetId="5" r:id="rId13"/>
  </sheets>
  <definedNames>
    <definedName name="_xlnm.Print_Area" localSheetId="2">ЭПУ!$A$1:$I$99</definedName>
    <definedName name="_xlnm.Print_Area" localSheetId="11">'ЭПУ (10)'!$A$1:$I$99</definedName>
    <definedName name="_xlnm.Print_Area" localSheetId="3">'ЭПУ (2)'!$A$1:$I$99</definedName>
    <definedName name="_xlnm.Print_Area" localSheetId="4">'ЭПУ (3)'!$A$1:$I$99</definedName>
    <definedName name="_xlnm.Print_Area" localSheetId="5">'ЭПУ (4)'!$A$1:$I$99</definedName>
    <definedName name="_xlnm.Print_Area" localSheetId="6">'ЭПУ (5)'!$A$1:$I$99</definedName>
    <definedName name="_xlnm.Print_Area" localSheetId="7">'ЭПУ (6)'!$A$1:$I$99</definedName>
    <definedName name="_xlnm.Print_Area" localSheetId="8">'ЭПУ (7)'!$A$1:$I$99</definedName>
    <definedName name="_xlnm.Print_Area" localSheetId="9">'ЭПУ (8)'!$A$1:$I$99</definedName>
    <definedName name="_xlnm.Print_Area" localSheetId="10">'ЭПУ (9)'!$A$1:$I$99</definedName>
  </definedNames>
  <calcPr calcId="145621"/>
</workbook>
</file>

<file path=xl/calcChain.xml><?xml version="1.0" encoding="utf-8"?>
<calcChain xmlns="http://schemas.openxmlformats.org/spreadsheetml/2006/main">
  <c r="F33" i="6" l="1"/>
  <c r="F33" i="83"/>
  <c r="F33" i="3"/>
  <c r="I99" i="90" l="1"/>
  <c r="D99" i="90"/>
  <c r="I98" i="90"/>
  <c r="D98" i="90"/>
  <c r="B98" i="90"/>
  <c r="I97" i="90"/>
  <c r="D97" i="90"/>
  <c r="B97" i="90"/>
  <c r="D90" i="90"/>
  <c r="F33" i="90"/>
  <c r="F32" i="90"/>
  <c r="D13" i="90"/>
  <c r="C12" i="90"/>
  <c r="C5" i="90"/>
  <c r="D4" i="90"/>
  <c r="C4" i="90"/>
  <c r="I3" i="90"/>
  <c r="I99" i="89"/>
  <c r="D99" i="89"/>
  <c r="I98" i="89"/>
  <c r="D98" i="89"/>
  <c r="B98" i="89"/>
  <c r="I97" i="89"/>
  <c r="D97" i="89"/>
  <c r="B97" i="89"/>
  <c r="F33" i="89"/>
  <c r="D90" i="89" s="1"/>
  <c r="F32" i="89"/>
  <c r="D13" i="89"/>
  <c r="C12" i="89"/>
  <c r="C5" i="89"/>
  <c r="D4" i="89"/>
  <c r="C4" i="89"/>
  <c r="I3" i="89"/>
  <c r="I99" i="88"/>
  <c r="D99" i="88"/>
  <c r="I98" i="88"/>
  <c r="D98" i="88"/>
  <c r="B98" i="88"/>
  <c r="I97" i="88"/>
  <c r="D97" i="88"/>
  <c r="B97" i="88"/>
  <c r="D90" i="88"/>
  <c r="F33" i="88"/>
  <c r="F32" i="88"/>
  <c r="D13" i="88"/>
  <c r="C12" i="88"/>
  <c r="C5" i="88"/>
  <c r="D4" i="88"/>
  <c r="C4" i="88"/>
  <c r="I3" i="88"/>
  <c r="I99" i="87"/>
  <c r="D99" i="87"/>
  <c r="I98" i="87"/>
  <c r="D98" i="87"/>
  <c r="B98" i="87"/>
  <c r="I97" i="87"/>
  <c r="D97" i="87"/>
  <c r="B97" i="87"/>
  <c r="D90" i="87"/>
  <c r="F33" i="87"/>
  <c r="F32" i="87"/>
  <c r="D13" i="87"/>
  <c r="C12" i="87"/>
  <c r="C5" i="87"/>
  <c r="D4" i="87"/>
  <c r="C4" i="87"/>
  <c r="I3" i="87"/>
  <c r="I99" i="86"/>
  <c r="D99" i="86"/>
  <c r="I98" i="86"/>
  <c r="D98" i="86"/>
  <c r="B98" i="86"/>
  <c r="I97" i="86"/>
  <c r="D97" i="86"/>
  <c r="B97" i="86"/>
  <c r="F33" i="86"/>
  <c r="D90" i="86" s="1"/>
  <c r="F32" i="86"/>
  <c r="D13" i="86"/>
  <c r="C12" i="86"/>
  <c r="C5" i="86"/>
  <c r="D4" i="86"/>
  <c r="C4" i="86"/>
  <c r="I3" i="86"/>
  <c r="I99" i="85"/>
  <c r="D99" i="85"/>
  <c r="I98" i="85"/>
  <c r="D98" i="85"/>
  <c r="B98" i="85"/>
  <c r="I97" i="85"/>
  <c r="D97" i="85"/>
  <c r="B97" i="85"/>
  <c r="F33" i="85"/>
  <c r="D90" i="85" s="1"/>
  <c r="F32" i="85"/>
  <c r="D13" i="85"/>
  <c r="C12" i="85"/>
  <c r="C5" i="85"/>
  <c r="D4" i="85"/>
  <c r="C4" i="85"/>
  <c r="I3" i="85"/>
  <c r="I99" i="84"/>
  <c r="D99" i="84"/>
  <c r="I98" i="84"/>
  <c r="D98" i="84"/>
  <c r="B98" i="84"/>
  <c r="I97" i="84"/>
  <c r="D97" i="84"/>
  <c r="B97" i="84"/>
  <c r="F33" i="84"/>
  <c r="D90" i="84" s="1"/>
  <c r="F32" i="84"/>
  <c r="D13" i="84"/>
  <c r="C12" i="84"/>
  <c r="C5" i="84"/>
  <c r="D4" i="84"/>
  <c r="C4" i="84"/>
  <c r="I3" i="84"/>
  <c r="I99" i="83"/>
  <c r="D99" i="83"/>
  <c r="I98" i="83"/>
  <c r="D98" i="83"/>
  <c r="B98" i="83"/>
  <c r="I97" i="83"/>
  <c r="D97" i="83"/>
  <c r="B97" i="83"/>
  <c r="D90" i="83"/>
  <c r="F32" i="83"/>
  <c r="D13" i="83"/>
  <c r="C12" i="83"/>
  <c r="C5" i="83"/>
  <c r="D4" i="83"/>
  <c r="C4" i="83"/>
  <c r="I3" i="83"/>
  <c r="D90" i="6" l="1"/>
  <c r="D90" i="3"/>
  <c r="F32" i="6" l="1"/>
  <c r="F32" i="3"/>
  <c r="D13" i="6" l="1"/>
  <c r="C12" i="6" l="1"/>
  <c r="B98" i="6"/>
  <c r="I99" i="6"/>
  <c r="D99" i="6"/>
  <c r="B97" i="6"/>
  <c r="I98" i="6"/>
  <c r="D98" i="6"/>
  <c r="I97" i="6"/>
  <c r="D97" i="6"/>
  <c r="C5" i="6"/>
  <c r="D4" i="6"/>
  <c r="C4" i="6"/>
  <c r="I3" i="6"/>
  <c r="C36" i="5" l="1"/>
  <c r="G36" i="5"/>
  <c r="C37" i="5"/>
  <c r="G37" i="5"/>
  <c r="C38" i="5"/>
  <c r="G38" i="5"/>
  <c r="C39" i="5"/>
  <c r="G39" i="5"/>
  <c r="H52" i="2" l="1"/>
  <c r="A53" i="2"/>
  <c r="A38" i="5" s="1"/>
  <c r="I98" i="3"/>
  <c r="I99" i="3"/>
  <c r="I97" i="3"/>
  <c r="D98" i="3"/>
  <c r="D99" i="3"/>
  <c r="D97" i="3"/>
  <c r="B98" i="3"/>
  <c r="B97" i="3"/>
  <c r="H51" i="2"/>
  <c r="H53" i="2"/>
  <c r="H54" i="2"/>
  <c r="C53" i="2"/>
  <c r="C54" i="2"/>
  <c r="C51" i="2"/>
  <c r="A1" i="1"/>
  <c r="I3" i="2"/>
  <c r="C5" i="2"/>
  <c r="D4" i="2"/>
  <c r="C4" i="2"/>
  <c r="C5" i="3"/>
  <c r="D4" i="3"/>
  <c r="C4" i="3"/>
  <c r="C5" i="5"/>
  <c r="C4" i="5"/>
  <c r="G3" i="5"/>
  <c r="I3" i="3"/>
  <c r="A1" i="3" l="1"/>
  <c r="A1" i="89"/>
  <c r="A1" i="88"/>
  <c r="A1" i="87"/>
  <c r="A1" i="85"/>
  <c r="A1" i="83"/>
  <c r="A1" i="90"/>
  <c r="A1" i="86"/>
  <c r="A1" i="84"/>
  <c r="A1" i="6"/>
  <c r="A1" i="5"/>
  <c r="A1" i="2"/>
</calcChain>
</file>

<file path=xl/comments1.xml><?xml version="1.0" encoding="utf-8"?>
<comments xmlns="http://schemas.openxmlformats.org/spreadsheetml/2006/main">
  <authors>
    <author>Автор</author>
  </authors>
  <commentList>
    <comment ref="A29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Работник MSP, производящий ТО</t>
        </r>
      </text>
    </comment>
    <comment ref="A30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Работник MSP, производящий ТО</t>
        </r>
      </text>
    </comment>
    <comment ref="A31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Работник НСН, производящий ТО</t>
        </r>
      </text>
    </comment>
    <comment ref="A32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Руководитель MSP проверивший провильность подготовки и полноту отчета о ТО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>Время проставляется по результатам разряда АКБ (при его проведении) или по данным аварий предыдущих периодов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8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9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10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11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12.xml><?xml version="1.0" encoding="utf-8"?>
<comments xmlns="http://schemas.openxmlformats.org/spreadsheetml/2006/main">
  <authors>
    <author>Автор</author>
  </authors>
  <commentList>
    <comment ref="B11" authorId="0">
      <text>
        <r>
          <rPr>
            <b/>
            <sz val="9"/>
            <color indexed="81"/>
            <rFont val="Tahoma"/>
            <family val="2"/>
            <charset val="204"/>
          </rPr>
          <t>Если нумерация подключенных сухих контактов не соответствует таблице, то требуется внести коррекции</t>
        </r>
      </text>
    </comment>
  </commentList>
</comments>
</file>

<file path=xl/sharedStrings.xml><?xml version="1.0" encoding="utf-8"?>
<sst xmlns="http://schemas.openxmlformats.org/spreadsheetml/2006/main" count="1464" uniqueCount="209">
  <si>
    <t>ОТЧЕТ О ТЕХНИЧЕСКОМ ОБСЛУЖИВАНИИ</t>
  </si>
  <si>
    <t>оборудования и инфраструктуры объекта сети сотовой связи</t>
  </si>
  <si>
    <t>Владелец объекта:</t>
  </si>
  <si>
    <t>Номер объекта:</t>
  </si>
  <si>
    <t>Адрес:</t>
  </si>
  <si>
    <t>Протокол проверил:</t>
  </si>
  <si>
    <t>Содержание</t>
  </si>
  <si>
    <t>Дата проведения работ:</t>
  </si>
  <si>
    <t>Напряжение (фазное и линейное) первичной сети 220/380 В:</t>
  </si>
  <si>
    <t>Тип ЭПУ:</t>
  </si>
  <si>
    <t>Количество модулей:</t>
  </si>
  <si>
    <t xml:space="preserve">Заключение: </t>
  </si>
  <si>
    <t>Тип АКБ:</t>
  </si>
  <si>
    <t>АКБ1</t>
  </si>
  <si>
    <t>АКБ2</t>
  </si>
  <si>
    <t>технологическая</t>
  </si>
  <si>
    <t>60 мин.</t>
  </si>
  <si>
    <t>0 мин.</t>
  </si>
  <si>
    <t>Итого, В</t>
  </si>
  <si>
    <t>Ток, А</t>
  </si>
  <si>
    <t>Тип нагрузки при контрольном разряде:</t>
  </si>
  <si>
    <t>Фидер 1</t>
  </si>
  <si>
    <t>Напряжение на выходе ЭПУ, В</t>
  </si>
  <si>
    <t>Выходной ток (общий), А</t>
  </si>
  <si>
    <t>Тип установленных модулей:</t>
  </si>
  <si>
    <t>Эксплуатационные параметры</t>
  </si>
  <si>
    <t>Средняя температура АКБ</t>
  </si>
  <si>
    <t>Наименование</t>
  </si>
  <si>
    <t>Протокол проверки системы электропитания</t>
  </si>
  <si>
    <t>Примечание</t>
  </si>
  <si>
    <t>120 мин.</t>
  </si>
  <si>
    <t>180 мин.</t>
  </si>
  <si>
    <t>A</t>
  </si>
  <si>
    <t>Сообщение</t>
  </si>
  <si>
    <t>Результат</t>
  </si>
  <si>
    <t>Тип</t>
  </si>
  <si>
    <t>Наименование:</t>
  </si>
  <si>
    <t>Зав.№</t>
  </si>
  <si>
    <t>Средства измерений:</t>
  </si>
  <si>
    <t>Напряжение содержания, В</t>
  </si>
  <si>
    <t>Ток содержания, А</t>
  </si>
  <si>
    <t>Выполнить проверку/работу</t>
  </si>
  <si>
    <t>Внешнее состояние АКБ и стелажей</t>
  </si>
  <si>
    <t>Сумма номинальных емкостей АКБ, Ач:</t>
  </si>
  <si>
    <t>Проверка аккумуляторных батарей (АКБ) к ЭПУ1</t>
  </si>
  <si>
    <t>Отчет проверил:</t>
  </si>
  <si>
    <t>Если исправлено в ходе ТО, то указать OK и добавить примечание</t>
  </si>
  <si>
    <t>Состояние элементов монтажа электрических соединений, затяжка с соблюдением момента</t>
  </si>
  <si>
    <t>Если NOK, то добавить примечание!</t>
  </si>
  <si>
    <t>Карту проверил:</t>
  </si>
  <si>
    <t>B</t>
  </si>
  <si>
    <t>C</t>
  </si>
  <si>
    <t>D</t>
  </si>
  <si>
    <t>G</t>
  </si>
  <si>
    <t xml:space="preserve">Замечание: </t>
  </si>
  <si>
    <t>2. Протокол проверки системы электропитания</t>
  </si>
  <si>
    <t>Контрольная карта проверки инфраструктуры объекта</t>
  </si>
  <si>
    <t>1. Контрольная карта проверки инфраструктуры объекта</t>
  </si>
  <si>
    <r>
      <rPr>
        <b/>
        <sz val="8"/>
        <rFont val="Calibri"/>
        <family val="2"/>
        <charset val="204"/>
      </rPr>
      <t>OK</t>
    </r>
    <r>
      <rPr>
        <sz val="8"/>
        <rFont val="Calibri"/>
        <family val="2"/>
      </rPr>
      <t xml:space="preserve"> = Оборудование работоспособно / состояние удовлетворительное / регламентные работы выполнены</t>
    </r>
  </si>
  <si>
    <r>
      <rPr>
        <b/>
        <sz val="8"/>
        <rFont val="Calibri"/>
        <family val="2"/>
        <charset val="204"/>
      </rPr>
      <t>NOK</t>
    </r>
    <r>
      <rPr>
        <sz val="8"/>
        <rFont val="Calibri"/>
        <family val="2"/>
      </rPr>
      <t xml:space="preserve"> = Оборудование не работоспособно / состояние не удовлетворительное / требуются регламентные работ</t>
    </r>
  </si>
  <si>
    <r>
      <rPr>
        <b/>
        <sz val="8"/>
        <rFont val="Calibri"/>
        <family val="2"/>
        <charset val="204"/>
      </rPr>
      <t>NA</t>
    </r>
    <r>
      <rPr>
        <sz val="8"/>
        <rFont val="Calibri"/>
        <family val="2"/>
      </rPr>
      <t xml:space="preserve"> = Оборудование отсутствует на БС / нет возможности провести проверку</t>
    </r>
  </si>
  <si>
    <r>
      <t xml:space="preserve">Температура в помещении, </t>
    </r>
    <r>
      <rPr>
        <sz val="8"/>
        <rFont val="Calibri"/>
        <family val="2"/>
      </rPr>
      <t>°</t>
    </r>
    <r>
      <rPr>
        <sz val="8"/>
        <rFont val="Calibri"/>
        <family val="2"/>
      </rPr>
      <t>C</t>
    </r>
  </si>
  <si>
    <t>Наличие и правильность маркировки АКБ</t>
  </si>
  <si>
    <t>инженер</t>
  </si>
  <si>
    <t>Исполнитель 1:</t>
  </si>
  <si>
    <t>Исполнитель 2:</t>
  </si>
  <si>
    <t>АКБ3</t>
  </si>
  <si>
    <t>АКБ4</t>
  </si>
  <si>
    <t xml:space="preserve"> </t>
  </si>
  <si>
    <t xml:space="preserve">  </t>
  </si>
  <si>
    <t>EMERSON network power</t>
  </si>
  <si>
    <t>ПАО "ВЫМПЕЛКОМ"</t>
  </si>
  <si>
    <t>руководитель</t>
  </si>
  <si>
    <t>APPA-30R</t>
  </si>
  <si>
    <t>N24013892</t>
  </si>
  <si>
    <t>Narada 6-GFM-170F</t>
  </si>
  <si>
    <t>U А, В</t>
  </si>
  <si>
    <t>U А-В, В</t>
  </si>
  <si>
    <t>U В, В</t>
  </si>
  <si>
    <t>U B-C, В</t>
  </si>
  <si>
    <t>U C, В</t>
  </si>
  <si>
    <t>U А-C, В</t>
  </si>
  <si>
    <t>А.</t>
  </si>
  <si>
    <t>№ Цепи внешней аварии</t>
  </si>
  <si>
    <t>Содержание проверки</t>
  </si>
  <si>
    <t>Отключение вводного автоматического выключателя</t>
  </si>
  <si>
    <t>Имитация несанкционированного открытия входной двери аппаратной/КШ</t>
  </si>
  <si>
    <t xml:space="preserve">Имитация задымления пожарного датчика </t>
  </si>
  <si>
    <t>Нагрев датчика выше установленного порога</t>
  </si>
  <si>
    <t>Отключение автоматического выключателя СКВ 1</t>
  </si>
  <si>
    <t>Выключение выпрямителя системы вторичного энергоснабжения</t>
  </si>
  <si>
    <t>MAINS FAILURE 220V SOM</t>
  </si>
  <si>
    <t>CONDITIONER FAILURE</t>
  </si>
  <si>
    <t>FIRE ALARM FAULT</t>
  </si>
  <si>
    <t>SOM1 FAILURE</t>
  </si>
  <si>
    <t>SOM2 FAILURE</t>
  </si>
  <si>
    <t>LOSS OF 220 VOLTS</t>
  </si>
  <si>
    <t>ALARM BIS</t>
  </si>
  <si>
    <t>RRL 220 VOLTS</t>
  </si>
  <si>
    <t>ALARM BIS RRL</t>
  </si>
  <si>
    <t>Имитация неисправности пожарного датчика (отключение)</t>
  </si>
  <si>
    <t>Temperature alarm</t>
  </si>
  <si>
    <t>Door Window alarm</t>
  </si>
  <si>
    <t>Movement detected</t>
  </si>
  <si>
    <t>Отключение автоматического выключателя</t>
  </si>
  <si>
    <t>Имитация неисправности линии СОМ1</t>
  </si>
  <si>
    <t>Имитация неисправности линии СОМ2</t>
  </si>
  <si>
    <t>3. Протокол проверки прохождения внешних аварий</t>
  </si>
  <si>
    <t>Протокол проверки прохождения внешних аварий</t>
  </si>
  <si>
    <t>№ п.п.</t>
  </si>
  <si>
    <t>Перечень работ</t>
  </si>
  <si>
    <t>Комментарии</t>
  </si>
  <si>
    <t>Отметка о выполнении</t>
  </si>
  <si>
    <t>Варианты отметки о выполнении:</t>
  </si>
  <si>
    <t>Регламентные работы на элементах инфраструктуры.</t>
  </si>
  <si>
    <t>Проверка наличия всех необходимых указателей, сертификационных наклеек, маркировки оборудования.</t>
  </si>
  <si>
    <t xml:space="preserve"> Проверка состояния внешней и внутренней поверхностей стен, потолка, пола помещения аппаратной.</t>
  </si>
  <si>
    <t xml:space="preserve"> Если станция смонтирована в отдельно стоящем контейнере, проверка состояния фундамента, входной лестницы, забора вокруг выделенной территории и наличие защитной полосы не менее 1 м от внешней стороны забора. Проверка состояния лакокрасочного покрытия контейнера. Проверка состояния видимого контура заземления. </t>
  </si>
  <si>
    <t>Проверка работоспособности освещения и замков входной двери аппаратной.</t>
  </si>
  <si>
    <t>Проверка состояния и надежность крепления кабель-ростов, смонтированных в помещении аппаратной.</t>
  </si>
  <si>
    <t xml:space="preserve"> Проведение влажной уборки помещения аппаратной и уборки выделенной прилегающей территории.</t>
  </si>
  <si>
    <t xml:space="preserve"> Проверка даты очередной поверки и, при необходимости, замена (за рамками ТО) огнетушителей ОУ-5 (для объектов, с объемом помещения более 50м.куб)</t>
  </si>
  <si>
    <t>Регламентные работы на антенно-фидерных устройствах (АФУ).</t>
  </si>
  <si>
    <t>Проверка состояния крепления труб, кронштейнов, кабельростов, антенн РТФ и РРС и радиоблоков РРС. Затяжка элементов крепления, при возможности.</t>
  </si>
  <si>
    <t xml:space="preserve">Визуальный осмотр антенн РТФ и РРС, в том числе на предмет возможного разъюстирования, ВЧ фидеров и кабелей заземления на наличие повреждений. При необходимости, герметизация. </t>
  </si>
  <si>
    <t xml:space="preserve"> Проверка состояния герметизации разъемов в местах соединений антенн РТФ, РРС и радиоблоков с джамп-кабелями и джамп-кабелей с фидером. При необходимости, проведение герметизации.</t>
  </si>
  <si>
    <t xml:space="preserve"> Проверка наличия заземления элементов металлоконструкций АФУ (труб, кронштейнов, кабельростов) и радиоблоков РРС. Проверка качества соединений элементов заземления и его восстановление, при возможности.</t>
  </si>
  <si>
    <t xml:space="preserve"> Проверка внешнего состояния радиомодуля РРС. Проверка соответствия маркировки радиомодуля пролету РРС и нанесение/изменение маркировки в случае её отсутствия/несоответствия.</t>
  </si>
  <si>
    <t>Регламентные работы на оборудовании базовых станций.</t>
  </si>
  <si>
    <t>Проведение регламентных работ, замена (при наличии ЗИП) расходных материалов и неисправных элементов, в соответствии с инструкцией по эксплуатации производителя оборудования.</t>
  </si>
  <si>
    <t>Проверка отсутствия аварийной индикации и наличия индикации рабочего состояния на блоках базовой станции.</t>
  </si>
  <si>
    <t>Проверка работоспособности всех входов системы внешней сигнализации базовой станции. Проверка работоспособности осуществляется с помощью имитирования аварийных сообщений от подключенного оборудования (ЭПУ, РРС, охранная и пожарная сигнализация и др.). Проверка наименования внешних аварий на соответствие корпоративным стандартам.</t>
  </si>
  <si>
    <t>Регламентные работы на оборудовании ТС</t>
  </si>
  <si>
    <t>Проверка отсутствия аварийной индикации и наличия индикации рабочего состояния на блоках РРС.</t>
  </si>
  <si>
    <t>Проверка  прокладки оптических/электрических патчкордов между оборудованием и кроссами на соответствие с нормами.</t>
  </si>
  <si>
    <t>Удаление пыли с оборудования с помощью пылесоса</t>
  </si>
  <si>
    <t>Регламентные работы на оборудовании ЭПУ.</t>
  </si>
  <si>
    <t xml:space="preserve"> Проведение визуального осмотра автоматических выключателей, в том числе и вводных со стороны поставщика электроэнергии, состояния АВР и отходящих от них кабелей на наличие механических повреждений, мест окисления, нагрева и т.п.</t>
  </si>
  <si>
    <t xml:space="preserve"> Протяжка контактных соединений , выполнение регламентных работ, согласно требованиям производителях. </t>
  </si>
  <si>
    <t xml:space="preserve"> Проверка функционирования расчетного электросчётчика, снятие его показаний. Проверка наличия пломб на электросчётчике и его соединительной колодке, на вводных автоматах (повреждение пломб без представителей Энергосбыта категорически запрещено). </t>
  </si>
  <si>
    <t xml:space="preserve"> При наличии двух вводов (основной/резервный) проверить работоспособность АВР путём последовательного отключения вводных автоматов в силовом щите.</t>
  </si>
  <si>
    <t xml:space="preserve"> Проверка наличия на каждом автоматическом выключателе маркировки с наименованием присоединений, правильность маркировки оборудования и её восстановление при необходимости.</t>
  </si>
  <si>
    <t>Проверка и при необходимости регулировка эксплуатационных параметров стойки ЭПУ, согласно руководству по эксплуатации завода изготовителя. Заполнение бланка протокола проверки системы электропитания.</t>
  </si>
  <si>
    <t xml:space="preserve"> Очистка от пыли узлов и блоков стойки ЭПУ.</t>
  </si>
  <si>
    <t>Проверка работоспособности ЭПУ при переключении технологической нагрузки на питание от АКБ, путем отключения вводного автомата ЭПУ.</t>
  </si>
  <si>
    <t xml:space="preserve"> Проверка аккумуляторной батареи системы гарантированного электропитания.</t>
  </si>
  <si>
    <t xml:space="preserve"> Проведение визуального осмотра автоматических выключателей, в том числе и вводных со стороны поставщика электроэнергии</t>
  </si>
  <si>
    <t xml:space="preserve"> Протяжка контактных соединений , выполнение регламентных работ, согласно требованиям производителя. </t>
  </si>
  <si>
    <t xml:space="preserve"> Проверка функционирования расчетного электросчётчика, снятие его показаний. </t>
  </si>
  <si>
    <t xml:space="preserve"> Проверка наличия маркировки на кабелях электропитания и автоматических выключателях.</t>
  </si>
  <si>
    <t xml:space="preserve">Проверка и при необходимости регулировка эксплуатационных параметров стойки ЭПУ, согласно руководству по эксплуатации завода изготовителя. </t>
  </si>
  <si>
    <t xml:space="preserve"> Проверка АКБ системы вторичного электропитания.</t>
  </si>
  <si>
    <t>Проверка работоспособности всех входов системы внешней сигнализации базовой станции. Проверка работоспособности осуществляется с помощью имитирования аварийных сообщений от подключенного оборудования (ЭПУ, РРС, охранная и пожарная сигнализация и др.).</t>
  </si>
  <si>
    <t>Проверка сбора внешних аварийных событий</t>
  </si>
  <si>
    <t>R48-2900</t>
  </si>
  <si>
    <t>Очистка от пыли, замена (при наличии ЗИП)  неисправных элементов, в соответствии с инструкцией по эксплуатации производителя оборудования.</t>
  </si>
  <si>
    <t>Удаление пыли с оборудования.</t>
  </si>
  <si>
    <t>Количество групп АКБ:</t>
  </si>
  <si>
    <t>Количество АКБ в группе:</t>
  </si>
  <si>
    <t>Фидер 2</t>
  </si>
  <si>
    <t>Контрольный разряд Группа1</t>
  </si>
  <si>
    <t>Контрольный разряд Группа2</t>
  </si>
  <si>
    <r>
      <rPr>
        <b/>
        <sz val="8"/>
        <rFont val="Calibri"/>
        <family val="2"/>
        <charset val="204"/>
      </rPr>
      <t>КТЦ</t>
    </r>
    <r>
      <rPr>
        <sz val="8"/>
        <rFont val="Calibri"/>
        <family val="2"/>
      </rPr>
      <t xml:space="preserve"> U, В (с округлением до 0,01В)</t>
    </r>
  </si>
  <si>
    <t>Емкость АКБ, измерянная прибором</t>
  </si>
  <si>
    <t>КТЦ U, В (с округлением до 0,01В)</t>
  </si>
  <si>
    <t>Тип нагрузки</t>
  </si>
  <si>
    <t>Вывод</t>
  </si>
  <si>
    <t>количество</t>
  </si>
  <si>
    <t>количство ЭПУ на объекте</t>
  </si>
  <si>
    <t>мин</t>
  </si>
  <si>
    <t>Состояние ЭПУ</t>
  </si>
  <si>
    <t>Время автономной работы ориентировочно</t>
  </si>
  <si>
    <t>комментарий</t>
  </si>
  <si>
    <t>Всего АКБ в данном ЭПУ</t>
  </si>
  <si>
    <t>ЖЕЛТЫЕ ЯЧЕЙКИ ОБЯЗАТЕЛЬНЫ К ЗАПОЛНЕНИЮ!</t>
  </si>
  <si>
    <r>
      <rPr>
        <sz val="8"/>
        <color rgb="FFFF0000"/>
        <rFont val="Calibri"/>
        <family val="2"/>
        <charset val="204"/>
      </rPr>
      <t>OK</t>
    </r>
    <r>
      <rPr>
        <sz val="8"/>
        <rFont val="Calibri"/>
        <family val="2"/>
      </rPr>
      <t xml:space="preserve"> -  исправно</t>
    </r>
  </si>
  <si>
    <r>
      <rPr>
        <sz val="8"/>
        <color rgb="FFFF0000"/>
        <rFont val="Calibri"/>
        <family val="2"/>
        <charset val="204"/>
      </rPr>
      <t>NOK</t>
    </r>
    <r>
      <rPr>
        <sz val="8"/>
        <rFont val="Calibri"/>
        <family val="2"/>
      </rPr>
      <t xml:space="preserve"> - не исправно</t>
    </r>
  </si>
  <si>
    <r>
      <rPr>
        <sz val="8"/>
        <color rgb="FFFF0000"/>
        <rFont val="Calibri"/>
        <family val="2"/>
        <charset val="204"/>
      </rPr>
      <t>NA</t>
    </r>
    <r>
      <rPr>
        <sz val="8"/>
        <rFont val="Calibri"/>
        <family val="2"/>
      </rPr>
      <t xml:space="preserve"> - не предусмотрено проектом</t>
    </r>
  </si>
  <si>
    <t>Контрольный разряд Группа4</t>
  </si>
  <si>
    <t>Контрольный разряд Группа3</t>
  </si>
  <si>
    <t>2020г.</t>
  </si>
  <si>
    <t>Емкость АКБ:</t>
  </si>
  <si>
    <t>Ампер часов</t>
  </si>
  <si>
    <t>Проверка стойки электропитания</t>
  </si>
  <si>
    <t>ЭПУ 1</t>
  </si>
  <si>
    <t>Выделенные поля обязательны для заполнения и транслируются на остальные листа</t>
  </si>
  <si>
    <t>Группа 1</t>
  </si>
  <si>
    <t>Количество:</t>
  </si>
  <si>
    <t>Расчетное время на АКБ:</t>
  </si>
  <si>
    <t>Время автономной работы ориентировочно:</t>
  </si>
  <si>
    <t>Система мониторинга внешних аварий работоспособна. Аварийные сообщения транслируются в систему управления</t>
  </si>
  <si>
    <t>Блинник А.В.</t>
  </si>
  <si>
    <t>Смирнов С.А.</t>
  </si>
  <si>
    <t>OK</t>
  </si>
  <si>
    <t>NA</t>
  </si>
  <si>
    <t>работоспособно</t>
  </si>
  <si>
    <t>Группа 2</t>
  </si>
  <si>
    <t>FLUKE 77</t>
  </si>
  <si>
    <t>исправны</t>
  </si>
  <si>
    <t>ТС</t>
  </si>
  <si>
    <t>БС</t>
  </si>
  <si>
    <t>COSLIGHT 6-GFM-150Х</t>
  </si>
  <si>
    <t>ELTEK</t>
  </si>
  <si>
    <t>АдгР-Майкоп-РТПЦ</t>
  </si>
  <si>
    <t>Адыгея Респ, Майкоп г, Лесопарковая зона, кв-л 108. Башня РТПЦ.</t>
  </si>
  <si>
    <t>ИБП-7-48</t>
  </si>
  <si>
    <t>Narada 6-GFM-150F</t>
  </si>
  <si>
    <t>HUAWEI</t>
  </si>
  <si>
    <t>Ventura FT 12-100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</si>
</sst>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"/>
      <family val="2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indexed="8"/>
      <name val="Calibri"/>
      <family val="2"/>
      <charset val="204"/>
    </font>
    <font>
      <sz val="14"/>
      <color indexed="8"/>
      <name val="Calibri"/>
      <family val="2"/>
      <charset val="204"/>
    </font>
    <font>
      <sz val="8"/>
      <name val="Arial"/>
      <family val="2"/>
    </font>
    <font>
      <sz val="11"/>
      <color indexed="23"/>
      <name val="Calibri"/>
      <family val="2"/>
    </font>
    <font>
      <sz val="8"/>
      <name val="Calibri"/>
      <family val="2"/>
    </font>
    <font>
      <b/>
      <sz val="11"/>
      <name val="Calibri"/>
      <family val="2"/>
      <charset val="204"/>
    </font>
    <font>
      <sz val="8"/>
      <name val="Calibri"/>
      <family val="2"/>
      <charset val="204"/>
    </font>
    <font>
      <b/>
      <sz val="8"/>
      <name val="Calibri"/>
      <family val="2"/>
      <charset val="204"/>
    </font>
    <font>
      <sz val="8"/>
      <name val="Arial"/>
      <family val="2"/>
      <charset val="204"/>
    </font>
    <font>
      <b/>
      <sz val="11"/>
      <name val="Calibri"/>
      <family val="2"/>
    </font>
    <font>
      <b/>
      <sz val="8"/>
      <name val="Calibri"/>
      <family val="2"/>
    </font>
    <font>
      <b/>
      <sz val="8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9"/>
      <color theme="1"/>
      <name val="Times New Roman"/>
      <family val="1"/>
      <charset val="204"/>
    </font>
    <font>
      <b/>
      <sz val="9"/>
      <color theme="1"/>
      <name val="Arial"/>
      <family val="2"/>
      <charset val="204"/>
    </font>
    <font>
      <b/>
      <sz val="10"/>
      <color theme="1"/>
      <name val="Times New Roman"/>
      <family val="1"/>
      <charset val="204"/>
    </font>
    <font>
      <b/>
      <sz val="8"/>
      <name val="Arial"/>
      <family val="2"/>
    </font>
    <font>
      <sz val="8"/>
      <color rgb="FFFF0000"/>
      <name val="Calibri"/>
      <family val="2"/>
    </font>
    <font>
      <sz val="8"/>
      <color rgb="FFFF0000"/>
      <name val="Arial"/>
      <family val="2"/>
      <charset val="204"/>
    </font>
    <font>
      <b/>
      <sz val="8"/>
      <color rgb="FFFF0000"/>
      <name val="Calibri"/>
      <family val="2"/>
      <charset val="204"/>
    </font>
    <font>
      <sz val="8"/>
      <color rgb="FFFF0000"/>
      <name val="Calibri"/>
      <family val="2"/>
      <charset val="204"/>
    </font>
    <font>
      <sz val="11"/>
      <color theme="0"/>
      <name val="Calibri"/>
      <family val="2"/>
      <scheme val="minor"/>
    </font>
    <font>
      <sz val="10"/>
      <color rgb="FF000000"/>
      <name val="Verdana"/>
      <family val="2"/>
      <charset val="204"/>
    </font>
    <font>
      <b/>
      <sz val="10"/>
      <color rgb="FF000000"/>
      <name val="Verdana"/>
      <family val="2"/>
      <charset val="204"/>
    </font>
    <font>
      <b/>
      <sz val="1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Calibri"/>
      <family val="2"/>
      <charset val="204"/>
    </font>
    <font>
      <sz val="6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3E3E3"/>
        <bgColor rgb="FFE3E3E3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E3E3E3"/>
      </patternFill>
    </fill>
    <fill>
      <patternFill patternType="solid">
        <fgColor rgb="FFFFFF00"/>
        <bgColor rgb="FFFFFFCC"/>
      </patternFill>
    </fill>
    <fill>
      <patternFill patternType="solid">
        <fgColor theme="0" tint="-0.14999847407452621"/>
        <bgColor rgb="FFE3E3E3"/>
      </patternFill>
    </fill>
    <fill>
      <patternFill patternType="solid">
        <fgColor theme="0" tint="-0.14999847407452621"/>
        <bgColor rgb="FFFFFFCC"/>
      </patternFill>
    </fill>
  </fills>
  <borders count="3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/>
      <right/>
      <top/>
      <bottom style="dashed">
        <color rgb="FF000000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medium">
        <color indexed="64"/>
      </bottom>
      <diagonal/>
    </border>
    <border>
      <left style="thin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medium">
        <color indexed="64"/>
      </right>
      <top/>
      <bottom style="thin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55"/>
      </bottom>
      <diagonal/>
    </border>
  </borders>
  <cellStyleXfs count="3">
    <xf numFmtId="0" fontId="0" fillId="0" borderId="0"/>
    <xf numFmtId="0" fontId="1" fillId="0" borderId="0"/>
    <xf numFmtId="0" fontId="2" fillId="0" borderId="0">
      <alignment vertical="center"/>
    </xf>
  </cellStyleXfs>
  <cellXfs count="199">
    <xf numFmtId="0" fontId="0" fillId="0" borderId="0" xfId="0"/>
    <xf numFmtId="0" fontId="9" fillId="0" borderId="10" xfId="0" applyFont="1" applyFill="1" applyBorder="1" applyAlignment="1">
      <alignment horizontal="center"/>
    </xf>
    <xf numFmtId="0" fontId="9" fillId="0" borderId="2" xfId="0" applyFont="1" applyFill="1" applyBorder="1"/>
    <xf numFmtId="0" fontId="9" fillId="0" borderId="0" xfId="0" applyFont="1" applyFill="1"/>
    <xf numFmtId="0" fontId="15" fillId="0" borderId="0" xfId="0" applyFont="1" applyFill="1"/>
    <xf numFmtId="0" fontId="9" fillId="0" borderId="0" xfId="0" applyFont="1" applyFill="1" applyAlignment="1">
      <alignment horizontal="right"/>
    </xf>
    <xf numFmtId="164" fontId="9" fillId="0" borderId="0" xfId="0" applyNumberFormat="1" applyFont="1" applyFill="1"/>
    <xf numFmtId="1" fontId="9" fillId="0" borderId="0" xfId="0" applyNumberFormat="1" applyFont="1" applyFill="1" applyAlignment="1">
      <alignment horizontal="left"/>
    </xf>
    <xf numFmtId="0" fontId="9" fillId="0" borderId="0" xfId="0" applyFont="1" applyFill="1" applyAlignment="1">
      <alignment horizontal="center"/>
    </xf>
    <xf numFmtId="0" fontId="11" fillId="0" borderId="1" xfId="1" applyFont="1" applyFill="1" applyBorder="1" applyAlignment="1">
      <alignment horizontal="center"/>
    </xf>
    <xf numFmtId="0" fontId="9" fillId="0" borderId="0" xfId="0" applyFont="1" applyFill="1" applyAlignment="1"/>
    <xf numFmtId="0" fontId="9" fillId="0" borderId="10" xfId="0" applyFont="1" applyFill="1" applyBorder="1"/>
    <xf numFmtId="2" fontId="9" fillId="0" borderId="0" xfId="0" applyNumberFormat="1" applyFont="1" applyFill="1" applyAlignment="1">
      <alignment horizontal="center"/>
    </xf>
    <xf numFmtId="14" fontId="9" fillId="0" borderId="0" xfId="0" applyNumberFormat="1" applyFont="1" applyFill="1"/>
    <xf numFmtId="1" fontId="9" fillId="0" borderId="0" xfId="0" applyNumberFormat="1" applyFont="1" applyFill="1"/>
    <xf numFmtId="0" fontId="9" fillId="0" borderId="0" xfId="0" applyFont="1" applyFill="1" applyAlignment="1">
      <alignment vertical="top"/>
    </xf>
    <xf numFmtId="16" fontId="9" fillId="0" borderId="0" xfId="0" applyNumberFormat="1" applyFont="1" applyFill="1"/>
    <xf numFmtId="0" fontId="9" fillId="0" borderId="0" xfId="0" applyFont="1" applyFill="1" applyBorder="1"/>
    <xf numFmtId="0" fontId="9" fillId="0" borderId="11" xfId="0" applyFont="1" applyFill="1" applyBorder="1"/>
    <xf numFmtId="0" fontId="9" fillId="0" borderId="3" xfId="0" applyFont="1" applyFill="1" applyBorder="1"/>
    <xf numFmtId="0" fontId="9" fillId="0" borderId="4" xfId="0" applyFont="1" applyFill="1" applyBorder="1"/>
    <xf numFmtId="0" fontId="9" fillId="0" borderId="5" xfId="0" applyFont="1" applyFill="1" applyBorder="1"/>
    <xf numFmtId="0" fontId="11" fillId="0" borderId="6" xfId="0" applyFont="1" applyFill="1" applyBorder="1"/>
    <xf numFmtId="0" fontId="9" fillId="0" borderId="7" xfId="0" applyFont="1" applyFill="1" applyBorder="1"/>
    <xf numFmtId="0" fontId="9" fillId="0" borderId="6" xfId="0" applyFont="1" applyFill="1" applyBorder="1"/>
    <xf numFmtId="0" fontId="11" fillId="0" borderId="8" xfId="0" applyFont="1" applyFill="1" applyBorder="1"/>
    <xf numFmtId="0" fontId="9" fillId="0" borderId="9" xfId="0" applyFont="1" applyFill="1" applyBorder="1"/>
    <xf numFmtId="0" fontId="9" fillId="0" borderId="0" xfId="0" applyFont="1" applyFill="1" applyAlignment="1">
      <alignment vertical="center"/>
    </xf>
    <xf numFmtId="0" fontId="9" fillId="0" borderId="10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wrapText="1"/>
    </xf>
    <xf numFmtId="0" fontId="8" fillId="0" borderId="2" xfId="0" applyFont="1" applyFill="1" applyBorder="1"/>
    <xf numFmtId="0" fontId="0" fillId="0" borderId="0" xfId="0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left"/>
    </xf>
    <xf numFmtId="0" fontId="16" fillId="0" borderId="0" xfId="0" applyFont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6" fillId="2" borderId="14" xfId="0" applyFont="1" applyFill="1" applyBorder="1" applyAlignment="1">
      <alignment vertical="center" wrapText="1"/>
    </xf>
    <xf numFmtId="0" fontId="19" fillId="0" borderId="0" xfId="0" applyFont="1" applyBorder="1"/>
    <xf numFmtId="0" fontId="18" fillId="0" borderId="0" xfId="0" applyFont="1" applyBorder="1" applyAlignment="1">
      <alignment vertical="center"/>
    </xf>
    <xf numFmtId="0" fontId="16" fillId="0" borderId="0" xfId="0" applyFont="1" applyAlignment="1">
      <alignment horizontal="left" vertical="center" wrapText="1"/>
    </xf>
    <xf numFmtId="0" fontId="13" fillId="0" borderId="0" xfId="0" applyFont="1" applyAlignment="1">
      <alignment vertical="center" wrapText="1"/>
    </xf>
    <xf numFmtId="0" fontId="0" fillId="0" borderId="0" xfId="0" applyFont="1" applyAlignment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 wrapText="1"/>
    </xf>
    <xf numFmtId="49" fontId="20" fillId="4" borderId="16" xfId="0" applyNumberFormat="1" applyFont="1" applyFill="1" applyBorder="1" applyAlignment="1">
      <alignment horizontal="center" vertical="center" wrapText="1"/>
    </xf>
    <xf numFmtId="0" fontId="22" fillId="4" borderId="16" xfId="0" applyFont="1" applyFill="1" applyBorder="1" applyAlignment="1">
      <alignment horizontal="center" vertical="center" wrapText="1"/>
    </xf>
    <xf numFmtId="0" fontId="15" fillId="5" borderId="10" xfId="0" applyFont="1" applyFill="1" applyBorder="1" applyAlignment="1">
      <alignment horizontal="center" vertical="center" wrapText="1"/>
    </xf>
    <xf numFmtId="0" fontId="12" fillId="5" borderId="17" xfId="0" applyFont="1" applyFill="1" applyBorder="1" applyAlignment="1">
      <alignment horizontal="center" vertical="center" wrapText="1"/>
    </xf>
    <xf numFmtId="0" fontId="12" fillId="5" borderId="10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/>
    </xf>
    <xf numFmtId="0" fontId="12" fillId="0" borderId="20" xfId="0" applyFont="1" applyFill="1" applyBorder="1" applyAlignment="1">
      <alignment horizontal="center"/>
    </xf>
    <xf numFmtId="0" fontId="9" fillId="0" borderId="26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27" xfId="0" applyFont="1" applyFill="1" applyBorder="1" applyAlignment="1">
      <alignment horizontal="center"/>
    </xf>
    <xf numFmtId="0" fontId="12" fillId="0" borderId="31" xfId="0" applyFont="1" applyFill="1" applyBorder="1" applyAlignment="1">
      <alignment horizontal="center"/>
    </xf>
    <xf numFmtId="0" fontId="9" fillId="0" borderId="31" xfId="0" applyFont="1" applyFill="1" applyBorder="1" applyAlignment="1">
      <alignment horizontal="center"/>
    </xf>
    <xf numFmtId="0" fontId="12" fillId="0" borderId="18" xfId="0" applyFont="1" applyFill="1" applyBorder="1" applyAlignment="1">
      <alignment horizontal="center"/>
    </xf>
    <xf numFmtId="0" fontId="9" fillId="0" borderId="18" xfId="0" applyFont="1" applyFill="1" applyBorder="1" applyAlignment="1">
      <alignment horizontal="center"/>
    </xf>
    <xf numFmtId="0" fontId="24" fillId="0" borderId="0" xfId="0" applyFont="1" applyFill="1"/>
    <xf numFmtId="0" fontId="24" fillId="0" borderId="0" xfId="0" applyFont="1" applyFill="1" applyAlignment="1">
      <alignment horizontal="center"/>
    </xf>
    <xf numFmtId="0" fontId="24" fillId="0" borderId="0" xfId="0" applyFont="1" applyFill="1" applyAlignment="1">
      <alignment horizontal="left"/>
    </xf>
    <xf numFmtId="0" fontId="26" fillId="0" borderId="0" xfId="0" applyFont="1" applyFill="1"/>
    <xf numFmtId="0" fontId="25" fillId="0" borderId="0" xfId="0" applyFont="1" applyAlignment="1">
      <alignment horizontal="left" vertical="center"/>
    </xf>
    <xf numFmtId="0" fontId="24" fillId="0" borderId="0" xfId="0" applyFont="1" applyFill="1" applyAlignment="1"/>
    <xf numFmtId="0" fontId="9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left"/>
    </xf>
    <xf numFmtId="0" fontId="13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9" fillId="0" borderId="10" xfId="0" applyFont="1" applyFill="1" applyBorder="1" applyAlignment="1">
      <alignment horizontal="center"/>
    </xf>
    <xf numFmtId="1" fontId="9" fillId="0" borderId="0" xfId="0" applyNumberFormat="1" applyFont="1" applyFill="1" applyAlignment="1">
      <alignment horizontal="left"/>
    </xf>
    <xf numFmtId="164" fontId="0" fillId="0" borderId="0" xfId="0" applyNumberFormat="1" applyFill="1" applyAlignment="1" applyProtection="1">
      <alignment horizontal="left"/>
      <protection locked="0"/>
    </xf>
    <xf numFmtId="0" fontId="9" fillId="0" borderId="10" xfId="0" applyFont="1" applyFill="1" applyBorder="1" applyAlignment="1" applyProtection="1">
      <alignment horizontal="center" vertical="center" wrapText="1"/>
      <protection locked="0"/>
    </xf>
    <xf numFmtId="0" fontId="13" fillId="3" borderId="12" xfId="0" applyFont="1" applyFill="1" applyBorder="1" applyAlignment="1" applyProtection="1">
      <alignment horizontal="center" vertical="center" wrapText="1"/>
      <protection locked="0"/>
    </xf>
    <xf numFmtId="0" fontId="13" fillId="8" borderId="12" xfId="0" applyFont="1" applyFill="1" applyBorder="1" applyAlignment="1" applyProtection="1">
      <alignment horizontal="center" vertical="center" wrapText="1"/>
      <protection locked="0"/>
    </xf>
    <xf numFmtId="0" fontId="9" fillId="0" borderId="10" xfId="0" applyFont="1" applyFill="1" applyBorder="1" applyAlignment="1" applyProtection="1">
      <alignment horizontal="center"/>
      <protection locked="0"/>
    </xf>
    <xf numFmtId="0" fontId="9" fillId="6" borderId="0" xfId="0" applyFont="1" applyFill="1" applyProtection="1">
      <protection locked="0"/>
    </xf>
    <xf numFmtId="0" fontId="9" fillId="6" borderId="0" xfId="0" applyFont="1" applyFill="1" applyAlignment="1" applyProtection="1">
      <alignment horizontal="left"/>
      <protection locked="0"/>
    </xf>
    <xf numFmtId="0" fontId="9" fillId="0" borderId="0" xfId="0" applyFont="1" applyFill="1" applyAlignment="1" applyProtection="1">
      <alignment horizontal="left"/>
      <protection locked="0"/>
    </xf>
    <xf numFmtId="0" fontId="9" fillId="6" borderId="0" xfId="0" applyFont="1" applyFill="1" applyBorder="1" applyAlignment="1" applyProtection="1">
      <alignment horizontal="left"/>
      <protection locked="0"/>
    </xf>
    <xf numFmtId="2" fontId="9" fillId="0" borderId="10" xfId="0" applyNumberFormat="1" applyFont="1" applyFill="1" applyBorder="1" applyAlignment="1" applyProtection="1">
      <alignment horizontal="center"/>
      <protection locked="0"/>
    </xf>
    <xf numFmtId="2" fontId="9" fillId="0" borderId="21" xfId="0" applyNumberFormat="1" applyFont="1" applyFill="1" applyBorder="1" applyAlignment="1" applyProtection="1">
      <alignment horizontal="center"/>
      <protection locked="0"/>
    </xf>
    <xf numFmtId="2" fontId="9" fillId="0" borderId="22" xfId="0" applyNumberFormat="1" applyFont="1" applyFill="1" applyBorder="1" applyAlignment="1" applyProtection="1">
      <alignment horizontal="center"/>
      <protection locked="0"/>
    </xf>
    <xf numFmtId="0" fontId="9" fillId="0" borderId="23" xfId="0" applyFont="1" applyFill="1" applyBorder="1" applyAlignment="1" applyProtection="1">
      <alignment horizontal="center"/>
      <protection locked="0"/>
    </xf>
    <xf numFmtId="0" fontId="9" fillId="0" borderId="24" xfId="0" applyFont="1" applyFill="1" applyBorder="1" applyAlignment="1" applyProtection="1">
      <alignment horizontal="center"/>
      <protection locked="0"/>
    </xf>
    <xf numFmtId="0" fontId="9" fillId="0" borderId="25" xfId="0" applyFont="1" applyFill="1" applyBorder="1" applyAlignment="1" applyProtection="1">
      <alignment horizontal="center"/>
      <protection locked="0"/>
    </xf>
    <xf numFmtId="2" fontId="9" fillId="0" borderId="23" xfId="0" applyNumberFormat="1" applyFont="1" applyFill="1" applyBorder="1" applyAlignment="1" applyProtection="1">
      <alignment horizontal="center"/>
      <protection locked="0"/>
    </xf>
    <xf numFmtId="2" fontId="9" fillId="0" borderId="24" xfId="0" applyNumberFormat="1" applyFont="1" applyFill="1" applyBorder="1" applyAlignment="1" applyProtection="1">
      <alignment horizontal="center"/>
      <protection locked="0"/>
    </xf>
    <xf numFmtId="2" fontId="9" fillId="0" borderId="25" xfId="0" applyNumberFormat="1" applyFont="1" applyFill="1" applyBorder="1" applyAlignment="1" applyProtection="1">
      <alignment horizontal="center"/>
      <protection locked="0"/>
    </xf>
    <xf numFmtId="0" fontId="9" fillId="0" borderId="26" xfId="0" applyFont="1" applyFill="1" applyBorder="1" applyAlignment="1" applyProtection="1">
      <alignment horizontal="center"/>
      <protection locked="0"/>
    </xf>
    <xf numFmtId="0" fontId="9" fillId="0" borderId="17" xfId="0" applyFont="1" applyFill="1" applyBorder="1" applyAlignment="1" applyProtection="1">
      <alignment horizontal="center"/>
      <protection locked="0"/>
    </xf>
    <xf numFmtId="0" fontId="9" fillId="0" borderId="27" xfId="0" applyFont="1" applyFill="1" applyBorder="1" applyAlignment="1" applyProtection="1">
      <alignment horizontal="center"/>
      <protection locked="0"/>
    </xf>
    <xf numFmtId="0" fontId="9" fillId="6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9" fillId="6" borderId="0" xfId="0" applyFont="1" applyFill="1" applyProtection="1">
      <protection hidden="1"/>
    </xf>
    <xf numFmtId="0" fontId="9" fillId="0" borderId="0" xfId="0" applyFont="1" applyFill="1" applyAlignment="1">
      <alignment horizontal="left"/>
    </xf>
    <xf numFmtId="1" fontId="9" fillId="0" borderId="0" xfId="0" applyNumberFormat="1" applyFont="1" applyFill="1" applyAlignment="1">
      <alignment horizontal="left"/>
    </xf>
    <xf numFmtId="0" fontId="24" fillId="6" borderId="0" xfId="0" applyFont="1" applyFill="1" applyProtection="1">
      <protection locked="0"/>
    </xf>
    <xf numFmtId="0" fontId="13" fillId="2" borderId="12" xfId="0" applyFont="1" applyFill="1" applyBorder="1" applyAlignment="1" applyProtection="1">
      <alignment horizontal="center" vertical="center" wrapText="1"/>
      <protection locked="0"/>
    </xf>
    <xf numFmtId="0" fontId="13" fillId="2" borderId="14" xfId="0" applyFont="1" applyFill="1" applyBorder="1" applyAlignment="1" applyProtection="1">
      <alignment vertical="center" wrapText="1"/>
      <protection locked="0"/>
    </xf>
    <xf numFmtId="0" fontId="13" fillId="7" borderId="12" xfId="0" applyFont="1" applyFill="1" applyBorder="1" applyAlignment="1" applyProtection="1">
      <alignment horizontal="center" vertical="center" wrapText="1"/>
      <protection locked="0"/>
    </xf>
    <xf numFmtId="0" fontId="13" fillId="7" borderId="14" xfId="0" applyFont="1" applyFill="1" applyBorder="1" applyAlignment="1" applyProtection="1">
      <alignment vertical="center" wrapText="1"/>
      <protection locked="0"/>
    </xf>
    <xf numFmtId="0" fontId="13" fillId="9" borderId="12" xfId="0" applyFont="1" applyFill="1" applyBorder="1" applyAlignment="1" applyProtection="1">
      <alignment horizontal="center" vertical="center" wrapText="1"/>
      <protection locked="0"/>
    </xf>
    <xf numFmtId="0" fontId="13" fillId="9" borderId="14" xfId="0" applyFont="1" applyFill="1" applyBorder="1" applyAlignment="1" applyProtection="1">
      <alignment vertical="center" wrapText="1"/>
      <protection locked="0"/>
    </xf>
    <xf numFmtId="0" fontId="13" fillId="6" borderId="12" xfId="0" applyFont="1" applyFill="1" applyBorder="1" applyAlignment="1" applyProtection="1">
      <alignment horizontal="center" vertical="center" wrapText="1"/>
      <protection locked="0"/>
    </xf>
    <xf numFmtId="0" fontId="13" fillId="6" borderId="14" xfId="0" applyFont="1" applyFill="1" applyBorder="1" applyAlignment="1" applyProtection="1">
      <alignment vertical="center" wrapText="1"/>
      <protection locked="0"/>
    </xf>
    <xf numFmtId="0" fontId="13" fillId="0" borderId="12" xfId="0" applyFont="1" applyBorder="1" applyAlignment="1" applyProtection="1">
      <alignment horizontal="left" vertical="center" wrapText="1"/>
      <protection locked="0"/>
    </xf>
    <xf numFmtId="0" fontId="13" fillId="0" borderId="12" xfId="0" applyFont="1" applyFill="1" applyBorder="1" applyAlignment="1" applyProtection="1">
      <alignment horizontal="left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26" fillId="6" borderId="0" xfId="0" applyFont="1" applyFill="1"/>
    <xf numFmtId="0" fontId="9" fillId="6" borderId="0" xfId="0" applyFont="1" applyFill="1"/>
    <xf numFmtId="0" fontId="11" fillId="0" borderId="0" xfId="0" applyFont="1" applyFill="1" applyAlignment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center"/>
    </xf>
    <xf numFmtId="0" fontId="9" fillId="0" borderId="0" xfId="0" applyFont="1" applyFill="1" applyProtection="1"/>
    <xf numFmtId="0" fontId="9" fillId="0" borderId="0" xfId="0" applyFont="1" applyFill="1" applyAlignment="1" applyProtection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24" fillId="6" borderId="0" xfId="0" applyFont="1" applyFill="1" applyAlignment="1" applyProtection="1">
      <alignment horizontal="left"/>
      <protection locked="0"/>
    </xf>
    <xf numFmtId="0" fontId="29" fillId="0" borderId="0" xfId="0" applyFont="1"/>
    <xf numFmtId="0" fontId="30" fillId="0" borderId="0" xfId="0" applyFont="1"/>
    <xf numFmtId="0" fontId="31" fillId="0" borderId="0" xfId="0" applyFont="1" applyFill="1"/>
    <xf numFmtId="0" fontId="32" fillId="0" borderId="0" xfId="0" applyFont="1" applyFill="1"/>
    <xf numFmtId="1" fontId="0" fillId="6" borderId="0" xfId="0" applyNumberFormat="1" applyFill="1" applyAlignment="1" applyProtection="1">
      <alignment horizontal="left"/>
      <protection locked="0"/>
    </xf>
    <xf numFmtId="0" fontId="13" fillId="10" borderId="12" xfId="0" applyFont="1" applyFill="1" applyBorder="1" applyAlignment="1" applyProtection="1">
      <alignment horizontal="center" vertical="center" wrapText="1"/>
      <protection locked="0"/>
    </xf>
    <xf numFmtId="0" fontId="34" fillId="0" borderId="0" xfId="0" applyFont="1" applyFill="1" applyAlignment="1">
      <alignment horizontal="left"/>
    </xf>
    <xf numFmtId="0" fontId="12" fillId="0" borderId="0" xfId="0" applyFont="1" applyFill="1"/>
    <xf numFmtId="0" fontId="9" fillId="0" borderId="0" xfId="0" applyFont="1" applyFill="1" applyAlignment="1" applyProtection="1">
      <alignment horizontal="left"/>
      <protection hidden="1"/>
    </xf>
    <xf numFmtId="0" fontId="28" fillId="0" borderId="0" xfId="0" applyFont="1" applyFill="1" applyProtection="1">
      <protection hidden="1"/>
    </xf>
    <xf numFmtId="0" fontId="12" fillId="0" borderId="0" xfId="0" applyFont="1" applyFill="1" applyAlignment="1"/>
    <xf numFmtId="0" fontId="9" fillId="6" borderId="16" xfId="0" applyFont="1" applyFill="1" applyBorder="1" applyAlignment="1" applyProtection="1">
      <alignment horizontal="left"/>
      <protection locked="0"/>
    </xf>
    <xf numFmtId="0" fontId="35" fillId="6" borderId="16" xfId="0" applyFont="1" applyFill="1" applyBorder="1" applyAlignment="1" applyProtection="1">
      <alignment horizontal="left"/>
      <protection locked="0"/>
    </xf>
    <xf numFmtId="0" fontId="9" fillId="0" borderId="16" xfId="0" applyFont="1" applyFill="1" applyBorder="1" applyProtection="1">
      <protection locked="0"/>
    </xf>
    <xf numFmtId="0" fontId="9" fillId="0" borderId="16" xfId="0" applyFont="1" applyFill="1" applyBorder="1" applyAlignment="1" applyProtection="1">
      <protection locked="0"/>
    </xf>
    <xf numFmtId="0" fontId="24" fillId="0" borderId="16" xfId="0" applyFont="1" applyFill="1" applyBorder="1" applyAlignment="1" applyProtection="1">
      <protection locked="0"/>
    </xf>
    <xf numFmtId="0" fontId="12" fillId="0" borderId="0" xfId="0" applyFont="1" applyFill="1" applyAlignment="1" applyProtection="1">
      <alignment horizontal="left"/>
      <protection locked="0"/>
    </xf>
    <xf numFmtId="0" fontId="9" fillId="6" borderId="10" xfId="0" applyFont="1" applyFill="1" applyBorder="1" applyAlignment="1" applyProtection="1">
      <alignment horizontal="center"/>
      <protection locked="0"/>
    </xf>
    <xf numFmtId="2" fontId="9" fillId="0" borderId="0" xfId="0" applyNumberFormat="1" applyFont="1" applyFill="1" applyAlignment="1" applyProtection="1">
      <alignment horizontal="center"/>
      <protection hidden="1"/>
    </xf>
    <xf numFmtId="0" fontId="33" fillId="6" borderId="0" xfId="0" applyFont="1" applyFill="1"/>
    <xf numFmtId="0" fontId="0" fillId="6" borderId="0" xfId="0" applyFill="1" applyAlignment="1">
      <alignment horizontal="left"/>
    </xf>
    <xf numFmtId="0" fontId="0" fillId="6" borderId="0" xfId="0" applyFill="1"/>
    <xf numFmtId="1" fontId="9" fillId="0" borderId="0" xfId="0" applyNumberFormat="1" applyFont="1" applyFill="1" applyAlignment="1">
      <alignment horizontal="left"/>
    </xf>
    <xf numFmtId="0" fontId="9" fillId="0" borderId="10" xfId="0" applyFont="1" applyFill="1" applyBorder="1" applyAlignment="1">
      <alignment horizontal="center"/>
    </xf>
    <xf numFmtId="0" fontId="9" fillId="6" borderId="16" xfId="0" applyFont="1" applyFill="1" applyBorder="1" applyProtection="1">
      <protection locked="0"/>
    </xf>
    <xf numFmtId="0" fontId="35" fillId="0" borderId="16" xfId="0" applyFont="1" applyFill="1" applyBorder="1" applyAlignment="1" applyProtection="1">
      <alignment horizontal="left"/>
      <protection locked="0"/>
    </xf>
    <xf numFmtId="0" fontId="24" fillId="0" borderId="0" xfId="0" applyFont="1" applyFill="1" applyProtection="1">
      <protection locked="0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9" fillId="0" borderId="10" xfId="0" applyFont="1" applyFill="1" applyBorder="1" applyAlignment="1" applyProtection="1">
      <alignment horizontal="left" vertical="center" wrapText="1"/>
      <protection locked="0"/>
    </xf>
    <xf numFmtId="0" fontId="7" fillId="0" borderId="3" xfId="2" applyFont="1" applyFill="1" applyBorder="1" applyAlignment="1">
      <alignment horizontal="left" vertical="center" wrapText="1"/>
    </xf>
    <xf numFmtId="0" fontId="7" fillId="0" borderId="4" xfId="2" applyFont="1" applyFill="1" applyBorder="1" applyAlignment="1">
      <alignment horizontal="left" vertical="center" wrapText="1"/>
    </xf>
    <xf numFmtId="0" fontId="7" fillId="0" borderId="5" xfId="2" applyFont="1" applyFill="1" applyBorder="1" applyAlignment="1">
      <alignment horizontal="left" vertical="center" wrapText="1"/>
    </xf>
    <xf numFmtId="0" fontId="10" fillId="0" borderId="0" xfId="0" applyFont="1" applyFill="1" applyAlignment="1">
      <alignment horizontal="center"/>
    </xf>
    <xf numFmtId="0" fontId="9" fillId="0" borderId="3" xfId="0" applyFont="1" applyFill="1" applyBorder="1" applyAlignment="1" applyProtection="1">
      <alignment horizontal="left" vertical="center" wrapText="1"/>
      <protection locked="0"/>
    </xf>
    <xf numFmtId="0" fontId="9" fillId="0" borderId="5" xfId="0" applyFont="1" applyFill="1" applyBorder="1" applyAlignment="1" applyProtection="1">
      <alignment horizontal="left" vertical="center" wrapText="1"/>
      <protection locked="0"/>
    </xf>
    <xf numFmtId="0" fontId="16" fillId="5" borderId="8" xfId="2" applyFont="1" applyFill="1" applyBorder="1" applyAlignment="1">
      <alignment horizontal="left" vertical="center" wrapText="1"/>
    </xf>
    <xf numFmtId="0" fontId="16" fillId="5" borderId="2" xfId="2" applyFont="1" applyFill="1" applyBorder="1" applyAlignment="1">
      <alignment horizontal="left" vertical="center" wrapText="1"/>
    </xf>
    <xf numFmtId="0" fontId="16" fillId="5" borderId="9" xfId="2" applyFont="1" applyFill="1" applyBorder="1" applyAlignment="1">
      <alignment horizontal="left" vertical="center" wrapText="1"/>
    </xf>
    <xf numFmtId="0" fontId="22" fillId="4" borderId="16" xfId="0" applyFont="1" applyFill="1" applyBorder="1" applyAlignment="1">
      <alignment horizontal="center" vertical="center" wrapText="1"/>
    </xf>
    <xf numFmtId="0" fontId="21" fillId="4" borderId="16" xfId="0" applyFont="1" applyFill="1" applyBorder="1" applyAlignment="1">
      <alignment horizontal="center" vertical="center"/>
    </xf>
    <xf numFmtId="0" fontId="16" fillId="5" borderId="3" xfId="2" applyFont="1" applyFill="1" applyBorder="1" applyAlignment="1">
      <alignment horizontal="left" vertical="center" wrapText="1"/>
    </xf>
    <xf numFmtId="0" fontId="16" fillId="5" borderId="4" xfId="2" applyFont="1" applyFill="1" applyBorder="1" applyAlignment="1">
      <alignment horizontal="left" vertical="center" wrapText="1"/>
    </xf>
    <xf numFmtId="0" fontId="16" fillId="5" borderId="5" xfId="2" applyFont="1" applyFill="1" applyBorder="1" applyAlignment="1">
      <alignment horizontal="left" vertical="center" wrapText="1"/>
    </xf>
    <xf numFmtId="0" fontId="9" fillId="0" borderId="0" xfId="0" applyFont="1" applyFill="1" applyAlignment="1" applyProtection="1">
      <alignment horizontal="left" vertical="top" wrapText="1"/>
      <protection locked="0"/>
    </xf>
    <xf numFmtId="0" fontId="7" fillId="0" borderId="10" xfId="2" applyFont="1" applyFill="1" applyBorder="1" applyAlignment="1">
      <alignment horizontal="left" vertical="center" wrapText="1"/>
    </xf>
    <xf numFmtId="0" fontId="23" fillId="5" borderId="10" xfId="2" applyFont="1" applyFill="1" applyBorder="1" applyAlignment="1">
      <alignment horizontal="left" vertical="center" wrapText="1"/>
    </xf>
    <xf numFmtId="0" fontId="14" fillId="0" borderId="0" xfId="0" applyFont="1" applyFill="1" applyAlignment="1">
      <alignment horizontal="center"/>
    </xf>
    <xf numFmtId="0" fontId="9" fillId="0" borderId="0" xfId="0" applyFont="1" applyFill="1" applyAlignment="1">
      <alignment horizontal="left"/>
    </xf>
    <xf numFmtId="1" fontId="9" fillId="0" borderId="0" xfId="0" applyNumberFormat="1" applyFont="1" applyFill="1" applyAlignment="1">
      <alignment horizontal="left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0" xfId="0" applyFont="1" applyFill="1" applyBorder="1" applyAlignment="1">
      <alignment horizontal="left"/>
    </xf>
    <xf numFmtId="0" fontId="9" fillId="0" borderId="10" xfId="0" applyFont="1" applyFill="1" applyBorder="1" applyAlignment="1" applyProtection="1">
      <alignment horizontal="left"/>
      <protection locked="0"/>
    </xf>
    <xf numFmtId="0" fontId="12" fillId="0" borderId="28" xfId="0" applyFont="1" applyFill="1" applyBorder="1" applyAlignment="1">
      <alignment horizontal="center"/>
    </xf>
    <xf numFmtId="0" fontId="12" fillId="0" borderId="29" xfId="0" applyFont="1" applyFill="1" applyBorder="1" applyAlignment="1">
      <alignment horizontal="center"/>
    </xf>
    <xf numFmtId="0" fontId="12" fillId="0" borderId="30" xfId="0" applyFont="1" applyFill="1" applyBorder="1" applyAlignment="1">
      <alignment horizontal="center"/>
    </xf>
    <xf numFmtId="0" fontId="11" fillId="0" borderId="28" xfId="0" applyFont="1" applyFill="1" applyBorder="1" applyAlignment="1">
      <alignment horizontal="center"/>
    </xf>
    <xf numFmtId="0" fontId="9" fillId="0" borderId="29" xfId="0" applyFont="1" applyFill="1" applyBorder="1" applyAlignment="1">
      <alignment horizontal="center"/>
    </xf>
    <xf numFmtId="0" fontId="9" fillId="0" borderId="30" xfId="0" applyFont="1" applyFill="1" applyBorder="1" applyAlignment="1">
      <alignment horizontal="center"/>
    </xf>
    <xf numFmtId="0" fontId="9" fillId="0" borderId="28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left"/>
    </xf>
    <xf numFmtId="0" fontId="9" fillId="0" borderId="3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9" fillId="0" borderId="5" xfId="0" applyFont="1" applyFill="1" applyBorder="1" applyAlignment="1">
      <alignment horizontal="left"/>
    </xf>
    <xf numFmtId="0" fontId="13" fillId="0" borderId="14" xfId="0" applyFont="1" applyBorder="1" applyAlignment="1" applyProtection="1">
      <alignment horizontal="center" vertical="center" wrapText="1"/>
      <protection locked="0"/>
    </xf>
    <xf numFmtId="0" fontId="13" fillId="0" borderId="15" xfId="0" applyFont="1" applyBorder="1" applyAlignment="1" applyProtection="1">
      <alignment horizontal="center" vertical="center" wrapText="1"/>
      <protection locked="0"/>
    </xf>
    <xf numFmtId="0" fontId="13" fillId="0" borderId="14" xfId="0" applyFont="1" applyFill="1" applyBorder="1" applyAlignment="1" applyProtection="1">
      <alignment horizontal="center" vertical="center" wrapText="1"/>
      <protection locked="0"/>
    </xf>
    <xf numFmtId="0" fontId="13" fillId="0" borderId="15" xfId="0" applyFont="1" applyFill="1" applyBorder="1" applyAlignment="1" applyProtection="1">
      <alignment horizontal="center" vertical="center" wrapText="1"/>
      <protection locked="0"/>
    </xf>
    <xf numFmtId="0" fontId="13" fillId="0" borderId="14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6" fillId="0" borderId="13" xfId="0" applyFont="1" applyBorder="1" applyAlignment="1">
      <alignment horizontal="left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15" xfId="0" applyFont="1" applyFill="1" applyBorder="1" applyAlignment="1">
      <alignment horizontal="center" vertical="center" wrapText="1"/>
    </xf>
    <xf numFmtId="0" fontId="9" fillId="0" borderId="0" xfId="0" applyFont="1" applyFill="1" applyAlignment="1" applyProtection="1">
      <alignment horizontal="left" vertical="top"/>
      <protection locked="0"/>
    </xf>
    <xf numFmtId="0" fontId="25" fillId="0" borderId="14" xfId="0" applyFont="1" applyFill="1" applyBorder="1" applyAlignment="1" applyProtection="1">
      <alignment horizontal="center" vertical="center" wrapText="1"/>
      <protection locked="0"/>
    </xf>
    <xf numFmtId="0" fontId="25" fillId="0" borderId="15" xfId="0" applyFont="1" applyFill="1" applyBorder="1" applyAlignment="1" applyProtection="1">
      <alignment horizontal="center" vertical="center" wrapText="1"/>
      <protection locked="0"/>
    </xf>
  </cellXfs>
  <cellStyles count="3">
    <cellStyle name="Excel Built-in Normal" xfId="1"/>
    <cellStyle name="Обычный" xfId="0" builtinId="0"/>
    <cellStyle name="Обычный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49"/>
  <sheetViews>
    <sheetView tabSelected="1" topLeftCell="A7" zoomScaleNormal="100" workbookViewId="0">
      <selection activeCell="F19" sqref="F19"/>
    </sheetView>
  </sheetViews>
  <sheetFormatPr defaultColWidth="9.140625" defaultRowHeight="15" x14ac:dyDescent="0.25"/>
  <cols>
    <col min="1" max="1" width="29.140625" style="32" customWidth="1"/>
    <col min="2" max="2" width="29.140625" style="31" customWidth="1"/>
    <col min="3" max="3" width="29.140625" style="32" customWidth="1"/>
    <col min="4" max="16384" width="9.140625" style="32"/>
  </cols>
  <sheetData>
    <row r="1" spans="1:3" x14ac:dyDescent="0.25">
      <c r="A1" s="30" t="str">
        <f>CONCATENATE("ТО БС ",B19)</f>
        <v>ТО БС 25001066368</v>
      </c>
    </row>
    <row r="4" spans="1:3" x14ac:dyDescent="0.25">
      <c r="A4" s="141" t="s">
        <v>185</v>
      </c>
      <c r="B4" s="142"/>
      <c r="C4" s="143"/>
    </row>
    <row r="12" spans="1:3" ht="18.75" x14ac:dyDescent="0.3">
      <c r="A12" s="149" t="s">
        <v>0</v>
      </c>
      <c r="B12" s="149"/>
      <c r="C12" s="149"/>
    </row>
    <row r="13" spans="1:3" ht="18.75" x14ac:dyDescent="0.3">
      <c r="A13" s="150" t="s">
        <v>1</v>
      </c>
      <c r="B13" s="150"/>
      <c r="C13" s="150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8" spans="1:3" x14ac:dyDescent="0.25">
      <c r="A18" s="32" t="s">
        <v>2</v>
      </c>
      <c r="B18" s="34" t="s">
        <v>71</v>
      </c>
    </row>
    <row r="19" spans="1:3" x14ac:dyDescent="0.25">
      <c r="A19" s="32" t="s">
        <v>3</v>
      </c>
      <c r="B19" s="126">
        <v>25001066368</v>
      </c>
    </row>
    <row r="20" spans="1:3" x14ac:dyDescent="0.25">
      <c r="A20" s="32" t="s">
        <v>36</v>
      </c>
      <c r="B20" s="126" t="s">
        <v>203</v>
      </c>
    </row>
    <row r="21" spans="1:3" x14ac:dyDescent="0.25">
      <c r="A21" s="32" t="s">
        <v>4</v>
      </c>
      <c r="B21" s="126" t="s">
        <v>204</v>
      </c>
    </row>
    <row r="25" spans="1:3" x14ac:dyDescent="0.25">
      <c r="A25" s="32" t="s">
        <v>7</v>
      </c>
      <c r="B25" s="74">
        <v>44103</v>
      </c>
    </row>
    <row r="29" spans="1:3" x14ac:dyDescent="0.25">
      <c r="A29" s="32" t="s">
        <v>64</v>
      </c>
      <c r="B29" s="34" t="s">
        <v>63</v>
      </c>
      <c r="C29" s="126" t="s">
        <v>191</v>
      </c>
    </row>
    <row r="30" spans="1:3" x14ac:dyDescent="0.25">
      <c r="A30" s="32" t="s">
        <v>65</v>
      </c>
      <c r="B30" s="34" t="s">
        <v>63</v>
      </c>
      <c r="C30" s="126"/>
    </row>
    <row r="31" spans="1:3" x14ac:dyDescent="0.25">
      <c r="A31" s="32" t="s">
        <v>68</v>
      </c>
      <c r="B31" s="34" t="s">
        <v>68</v>
      </c>
      <c r="C31" s="34" t="s">
        <v>68</v>
      </c>
    </row>
    <row r="32" spans="1:3" x14ac:dyDescent="0.25">
      <c r="A32" s="32" t="s">
        <v>45</v>
      </c>
      <c r="B32" s="34" t="s">
        <v>72</v>
      </c>
      <c r="C32" s="126" t="s">
        <v>192</v>
      </c>
    </row>
    <row r="39" spans="1:1" x14ac:dyDescent="0.25">
      <c r="A39" s="32" t="s">
        <v>6</v>
      </c>
    </row>
    <row r="40" spans="1:1" x14ac:dyDescent="0.25">
      <c r="A40" s="32" t="s">
        <v>57</v>
      </c>
    </row>
    <row r="41" spans="1:1" x14ac:dyDescent="0.25">
      <c r="A41" s="32" t="s">
        <v>55</v>
      </c>
    </row>
    <row r="42" spans="1:1" x14ac:dyDescent="0.25">
      <c r="A42" s="32" t="s">
        <v>107</v>
      </c>
    </row>
    <row r="49" spans="2:3" x14ac:dyDescent="0.25">
      <c r="B49" s="120" t="s">
        <v>180</v>
      </c>
      <c r="C49" s="131">
        <v>123</v>
      </c>
    </row>
  </sheetData>
  <sheetProtection password="CF7A" sheet="1" objects="1" scenarios="1"/>
  <mergeCells count="2">
    <mergeCell ref="A12:C12"/>
    <mergeCell ref="A13:C13"/>
  </mergeCells>
  <phoneticPr fontId="9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57"/>
  <sheetViews>
    <sheetView zoomScaleNormal="100" zoomScaleSheetLayoutView="130" workbookViewId="0">
      <selection activeCell="H46" sqref="H46:I46"/>
    </sheetView>
  </sheetViews>
  <sheetFormatPr defaultColWidth="9.140625" defaultRowHeight="11.25" x14ac:dyDescent="0.2"/>
  <cols>
    <col min="1" max="1" width="3.85546875" style="3" customWidth="1"/>
    <col min="2" max="2" width="9.140625" style="3"/>
    <col min="3" max="3" width="10.42578125" style="3" customWidth="1"/>
    <col min="4" max="4" width="14.42578125" style="3" customWidth="1"/>
    <col min="5" max="5" width="14.5703125" style="3" customWidth="1"/>
    <col min="6" max="6" width="11.5703125" style="3" customWidth="1"/>
    <col min="7" max="7" width="12.42578125" style="3" customWidth="1"/>
    <col min="8" max="9" width="9.140625" style="3"/>
    <col min="10" max="10" width="3.42578125" style="3" customWidth="1"/>
    <col min="11" max="11" width="9.140625" style="10"/>
    <col min="12" max="16384" width="9.140625" style="3"/>
  </cols>
  <sheetData>
    <row r="1" spans="1:11" x14ac:dyDescent="0.2">
      <c r="A1" s="2" t="str">
        <f>'Титульный лист'!A1</f>
        <v>ТО БС 25001066368</v>
      </c>
      <c r="B1" s="2"/>
    </row>
    <row r="2" spans="1:11" ht="15" x14ac:dyDescent="0.25">
      <c r="A2" s="155" t="s">
        <v>56</v>
      </c>
      <c r="B2" s="155"/>
      <c r="C2" s="155"/>
      <c r="D2" s="155"/>
      <c r="E2" s="155"/>
      <c r="F2" s="155"/>
      <c r="G2" s="155"/>
      <c r="H2" s="155"/>
      <c r="I2" s="155"/>
    </row>
    <row r="3" spans="1:11" x14ac:dyDescent="0.2">
      <c r="H3" s="5" t="s">
        <v>7</v>
      </c>
      <c r="I3" s="13">
        <f>'Титульный лист'!B25</f>
        <v>44103</v>
      </c>
    </row>
    <row r="4" spans="1:11" x14ac:dyDescent="0.2">
      <c r="A4" s="3" t="s">
        <v>3</v>
      </c>
      <c r="C4" s="7">
        <f>'Титульный лист'!B19</f>
        <v>25001066368</v>
      </c>
      <c r="D4" s="14" t="str">
        <f>'Титульный лист'!B20</f>
        <v>АдгР-Майкоп-РТПЦ</v>
      </c>
    </row>
    <row r="5" spans="1:11" x14ac:dyDescent="0.2">
      <c r="A5" s="3" t="s">
        <v>4</v>
      </c>
      <c r="C5" s="3" t="str">
        <f>'Титульный лист'!B21</f>
        <v>Адыгея Респ, Майкоп г, Лесопарковая зона, кв-л 108. Башня РТПЦ.</v>
      </c>
    </row>
    <row r="7" spans="1:11" x14ac:dyDescent="0.2">
      <c r="A7" s="19" t="s">
        <v>113</v>
      </c>
      <c r="B7" s="20"/>
      <c r="C7" s="20"/>
      <c r="D7" s="20"/>
      <c r="E7" s="20"/>
      <c r="F7" s="20"/>
      <c r="G7" s="20"/>
      <c r="H7" s="20"/>
      <c r="I7" s="21"/>
    </row>
    <row r="8" spans="1:11" x14ac:dyDescent="0.2">
      <c r="A8" s="22" t="s">
        <v>58</v>
      </c>
      <c r="B8" s="17"/>
      <c r="C8" s="17"/>
      <c r="D8" s="17"/>
      <c r="E8" s="17"/>
      <c r="F8" s="17"/>
      <c r="G8" s="17"/>
      <c r="H8" s="17"/>
      <c r="I8" s="23"/>
    </row>
    <row r="9" spans="1:11" x14ac:dyDescent="0.2">
      <c r="A9" s="22" t="s">
        <v>59</v>
      </c>
      <c r="B9" s="17"/>
      <c r="C9" s="17"/>
      <c r="D9" s="17"/>
      <c r="E9" s="17"/>
      <c r="F9" s="17"/>
      <c r="G9" s="17"/>
      <c r="H9" s="17"/>
      <c r="I9" s="23"/>
    </row>
    <row r="10" spans="1:11" x14ac:dyDescent="0.2">
      <c r="A10" s="24" t="s">
        <v>48</v>
      </c>
      <c r="B10" s="17"/>
      <c r="C10" s="17"/>
      <c r="D10" s="17"/>
      <c r="E10" s="17"/>
      <c r="F10" s="17"/>
      <c r="G10" s="17"/>
      <c r="H10" s="17"/>
      <c r="I10" s="23"/>
    </row>
    <row r="11" spans="1:11" x14ac:dyDescent="0.2">
      <c r="A11" s="24" t="s">
        <v>46</v>
      </c>
      <c r="B11" s="17"/>
      <c r="C11" s="17"/>
      <c r="D11" s="17"/>
      <c r="E11" s="17"/>
      <c r="F11" s="17"/>
      <c r="G11" s="17"/>
      <c r="H11" s="17"/>
      <c r="I11" s="23"/>
    </row>
    <row r="12" spans="1:11" x14ac:dyDescent="0.2">
      <c r="A12" s="25" t="s">
        <v>60</v>
      </c>
      <c r="B12" s="2"/>
      <c r="C12" s="2"/>
      <c r="D12" s="2"/>
      <c r="E12" s="2"/>
      <c r="F12" s="2"/>
      <c r="G12" s="2"/>
      <c r="H12" s="2"/>
      <c r="I12" s="26"/>
    </row>
    <row r="14" spans="1:11" s="8" customFormat="1" ht="25.5" x14ac:dyDescent="0.2">
      <c r="A14" s="47" t="s">
        <v>109</v>
      </c>
      <c r="B14" s="162" t="s">
        <v>110</v>
      </c>
      <c r="C14" s="162"/>
      <c r="D14" s="162"/>
      <c r="E14" s="162"/>
      <c r="F14" s="162"/>
      <c r="G14" s="48" t="s">
        <v>112</v>
      </c>
      <c r="H14" s="161" t="s">
        <v>111</v>
      </c>
      <c r="I14" s="161"/>
      <c r="K14" s="27"/>
    </row>
    <row r="15" spans="1:11" s="29" customFormat="1" ht="11.25" customHeight="1" x14ac:dyDescent="0.2">
      <c r="A15" s="50" t="s">
        <v>32</v>
      </c>
      <c r="B15" s="158" t="s">
        <v>114</v>
      </c>
      <c r="C15" s="159"/>
      <c r="D15" s="159"/>
      <c r="E15" s="159"/>
      <c r="F15" s="159"/>
      <c r="G15" s="159"/>
      <c r="H15" s="159"/>
      <c r="I15" s="160"/>
      <c r="K15" s="27"/>
    </row>
    <row r="16" spans="1:11" s="29" customFormat="1" ht="11.25" customHeight="1" x14ac:dyDescent="0.2">
      <c r="A16" s="28">
        <v>1</v>
      </c>
      <c r="B16" s="152" t="s">
        <v>115</v>
      </c>
      <c r="C16" s="153" t="s">
        <v>115</v>
      </c>
      <c r="D16" s="153" t="s">
        <v>115</v>
      </c>
      <c r="E16" s="153" t="s">
        <v>115</v>
      </c>
      <c r="F16" s="154" t="s">
        <v>115</v>
      </c>
      <c r="G16" s="75" t="s">
        <v>193</v>
      </c>
      <c r="H16" s="156"/>
      <c r="I16" s="157"/>
      <c r="K16" s="27"/>
    </row>
    <row r="17" spans="1:11" s="29" customFormat="1" ht="22.5" customHeight="1" x14ac:dyDescent="0.2">
      <c r="A17" s="28">
        <v>2</v>
      </c>
      <c r="B17" s="152" t="s">
        <v>116</v>
      </c>
      <c r="C17" s="153" t="s">
        <v>116</v>
      </c>
      <c r="D17" s="153" t="s">
        <v>116</v>
      </c>
      <c r="E17" s="153" t="s">
        <v>116</v>
      </c>
      <c r="F17" s="154" t="s">
        <v>116</v>
      </c>
      <c r="G17" s="75" t="s">
        <v>193</v>
      </c>
      <c r="H17" s="156"/>
      <c r="I17" s="157"/>
      <c r="K17" s="27"/>
    </row>
    <row r="18" spans="1:11" s="29" customFormat="1" ht="11.25" customHeight="1" x14ac:dyDescent="0.2">
      <c r="A18" s="28">
        <v>3</v>
      </c>
      <c r="B18" s="152" t="s">
        <v>117</v>
      </c>
      <c r="C18" s="153" t="s">
        <v>117</v>
      </c>
      <c r="D18" s="153" t="s">
        <v>117</v>
      </c>
      <c r="E18" s="153" t="s">
        <v>117</v>
      </c>
      <c r="F18" s="154" t="s">
        <v>117</v>
      </c>
      <c r="G18" s="75" t="s">
        <v>193</v>
      </c>
      <c r="H18" s="156"/>
      <c r="I18" s="157"/>
    </row>
    <row r="19" spans="1:11" s="29" customFormat="1" ht="11.25" customHeight="1" x14ac:dyDescent="0.2">
      <c r="A19" s="28">
        <v>4</v>
      </c>
      <c r="B19" s="152" t="s">
        <v>118</v>
      </c>
      <c r="C19" s="153" t="s">
        <v>118</v>
      </c>
      <c r="D19" s="153" t="s">
        <v>118</v>
      </c>
      <c r="E19" s="153" t="s">
        <v>118</v>
      </c>
      <c r="F19" s="154" t="s">
        <v>118</v>
      </c>
      <c r="G19" s="75" t="s">
        <v>193</v>
      </c>
      <c r="H19" s="156"/>
      <c r="I19" s="157"/>
      <c r="K19" s="27"/>
    </row>
    <row r="20" spans="1:11" s="29" customFormat="1" ht="33.75" customHeight="1" x14ac:dyDescent="0.2">
      <c r="A20" s="28">
        <v>5</v>
      </c>
      <c r="B20" s="152" t="s">
        <v>119</v>
      </c>
      <c r="C20" s="153" t="s">
        <v>119</v>
      </c>
      <c r="D20" s="153" t="s">
        <v>119</v>
      </c>
      <c r="E20" s="153" t="s">
        <v>119</v>
      </c>
      <c r="F20" s="154" t="s">
        <v>119</v>
      </c>
      <c r="G20" s="75" t="s">
        <v>193</v>
      </c>
      <c r="H20" s="156"/>
      <c r="I20" s="157"/>
      <c r="K20" s="27"/>
    </row>
    <row r="21" spans="1:11" s="29" customFormat="1" ht="22.5" customHeight="1" x14ac:dyDescent="0.2">
      <c r="A21" s="28">
        <v>6</v>
      </c>
      <c r="B21" s="152" t="s">
        <v>120</v>
      </c>
      <c r="C21" s="153" t="s">
        <v>120</v>
      </c>
      <c r="D21" s="153" t="s">
        <v>120</v>
      </c>
      <c r="E21" s="153" t="s">
        <v>120</v>
      </c>
      <c r="F21" s="154" t="s">
        <v>120</v>
      </c>
      <c r="G21" s="75" t="s">
        <v>193</v>
      </c>
      <c r="H21" s="156"/>
      <c r="I21" s="157"/>
      <c r="K21" s="27"/>
    </row>
    <row r="22" spans="1:11" s="29" customFormat="1" ht="11.25" customHeight="1" x14ac:dyDescent="0.2">
      <c r="A22" s="28">
        <v>7</v>
      </c>
      <c r="B22" s="152" t="s">
        <v>121</v>
      </c>
      <c r="C22" s="153" t="s">
        <v>121</v>
      </c>
      <c r="D22" s="153" t="s">
        <v>121</v>
      </c>
      <c r="E22" s="153" t="s">
        <v>121</v>
      </c>
      <c r="F22" s="154" t="s">
        <v>121</v>
      </c>
      <c r="G22" s="75" t="s">
        <v>193</v>
      </c>
      <c r="H22" s="156"/>
      <c r="I22" s="157"/>
      <c r="K22" s="27"/>
    </row>
    <row r="23" spans="1:11" s="29" customFormat="1" ht="11.25" customHeight="1" x14ac:dyDescent="0.2">
      <c r="A23" s="51" t="s">
        <v>50</v>
      </c>
      <c r="B23" s="163" t="s">
        <v>122</v>
      </c>
      <c r="C23" s="164"/>
      <c r="D23" s="164"/>
      <c r="E23" s="164"/>
      <c r="F23" s="164"/>
      <c r="G23" s="164"/>
      <c r="H23" s="164"/>
      <c r="I23" s="165"/>
      <c r="K23" s="27"/>
    </row>
    <row r="24" spans="1:11" s="29" customFormat="1" ht="22.5" customHeight="1" x14ac:dyDescent="0.2">
      <c r="A24" s="28">
        <v>1</v>
      </c>
      <c r="B24" s="152" t="s">
        <v>123</v>
      </c>
      <c r="C24" s="153" t="s">
        <v>123</v>
      </c>
      <c r="D24" s="153" t="s">
        <v>123</v>
      </c>
      <c r="E24" s="153" t="s">
        <v>123</v>
      </c>
      <c r="F24" s="154" t="s">
        <v>123</v>
      </c>
      <c r="G24" s="75" t="s">
        <v>193</v>
      </c>
      <c r="H24" s="156"/>
      <c r="I24" s="157"/>
      <c r="K24" s="27"/>
    </row>
    <row r="25" spans="1:11" s="29" customFormat="1" ht="11.25" customHeight="1" x14ac:dyDescent="0.2">
      <c r="A25" s="28">
        <v>2</v>
      </c>
      <c r="B25" s="152" t="s">
        <v>124</v>
      </c>
      <c r="C25" s="153" t="s">
        <v>124</v>
      </c>
      <c r="D25" s="153" t="s">
        <v>124</v>
      </c>
      <c r="E25" s="153" t="s">
        <v>124</v>
      </c>
      <c r="F25" s="154" t="s">
        <v>124</v>
      </c>
      <c r="G25" s="75" t="s">
        <v>193</v>
      </c>
      <c r="H25" s="156"/>
      <c r="I25" s="157"/>
      <c r="K25" s="27"/>
    </row>
    <row r="26" spans="1:11" s="29" customFormat="1" ht="30.6" customHeight="1" x14ac:dyDescent="0.2">
      <c r="A26" s="28">
        <v>3</v>
      </c>
      <c r="B26" s="152" t="s">
        <v>125</v>
      </c>
      <c r="C26" s="153" t="s">
        <v>125</v>
      </c>
      <c r="D26" s="153" t="s">
        <v>125</v>
      </c>
      <c r="E26" s="153" t="s">
        <v>125</v>
      </c>
      <c r="F26" s="154" t="s">
        <v>125</v>
      </c>
      <c r="G26" s="75" t="s">
        <v>193</v>
      </c>
      <c r="H26" s="156"/>
      <c r="I26" s="157"/>
      <c r="K26" s="27"/>
    </row>
    <row r="27" spans="1:11" s="29" customFormat="1" ht="33" customHeight="1" x14ac:dyDescent="0.2">
      <c r="A27" s="28">
        <v>4</v>
      </c>
      <c r="B27" s="152" t="s">
        <v>126</v>
      </c>
      <c r="C27" s="153" t="s">
        <v>126</v>
      </c>
      <c r="D27" s="153" t="s">
        <v>126</v>
      </c>
      <c r="E27" s="153" t="s">
        <v>126</v>
      </c>
      <c r="F27" s="154" t="s">
        <v>126</v>
      </c>
      <c r="G27" s="75" t="s">
        <v>193</v>
      </c>
      <c r="H27" s="156"/>
      <c r="I27" s="157"/>
      <c r="K27" s="27"/>
    </row>
    <row r="28" spans="1:11" s="29" customFormat="1" ht="33.75" customHeight="1" x14ac:dyDescent="0.2">
      <c r="A28" s="28">
        <v>5</v>
      </c>
      <c r="B28" s="152" t="s">
        <v>127</v>
      </c>
      <c r="C28" s="153" t="s">
        <v>127</v>
      </c>
      <c r="D28" s="153" t="s">
        <v>127</v>
      </c>
      <c r="E28" s="153" t="s">
        <v>127</v>
      </c>
      <c r="F28" s="154" t="s">
        <v>127</v>
      </c>
      <c r="G28" s="75" t="s">
        <v>193</v>
      </c>
      <c r="H28" s="156"/>
      <c r="I28" s="157"/>
      <c r="K28" s="27"/>
    </row>
    <row r="29" spans="1:11" s="29" customFormat="1" ht="11.25" customHeight="1" x14ac:dyDescent="0.2">
      <c r="A29" s="51" t="s">
        <v>51</v>
      </c>
      <c r="B29" s="163" t="s">
        <v>128</v>
      </c>
      <c r="C29" s="164"/>
      <c r="D29" s="164"/>
      <c r="E29" s="164"/>
      <c r="F29" s="164"/>
      <c r="G29" s="164"/>
      <c r="H29" s="164"/>
      <c r="I29" s="165"/>
      <c r="K29" s="27"/>
    </row>
    <row r="30" spans="1:11" s="29" customFormat="1" ht="35.25" customHeight="1" x14ac:dyDescent="0.2">
      <c r="A30" s="28">
        <v>1</v>
      </c>
      <c r="B30" s="152" t="s">
        <v>155</v>
      </c>
      <c r="C30" s="153" t="s">
        <v>129</v>
      </c>
      <c r="D30" s="153" t="s">
        <v>129</v>
      </c>
      <c r="E30" s="153" t="s">
        <v>129</v>
      </c>
      <c r="F30" s="154" t="s">
        <v>129</v>
      </c>
      <c r="G30" s="75" t="s">
        <v>193</v>
      </c>
      <c r="H30" s="156"/>
      <c r="I30" s="157"/>
      <c r="K30" s="27"/>
    </row>
    <row r="31" spans="1:11" s="29" customFormat="1" ht="22.5" customHeight="1" x14ac:dyDescent="0.2">
      <c r="A31" s="28">
        <v>2</v>
      </c>
      <c r="B31" s="152" t="s">
        <v>130</v>
      </c>
      <c r="C31" s="153" t="s">
        <v>130</v>
      </c>
      <c r="D31" s="153" t="s">
        <v>130</v>
      </c>
      <c r="E31" s="153" t="s">
        <v>130</v>
      </c>
      <c r="F31" s="154" t="s">
        <v>130</v>
      </c>
      <c r="G31" s="75" t="s">
        <v>193</v>
      </c>
      <c r="H31" s="156"/>
      <c r="I31" s="157"/>
      <c r="K31" s="27"/>
    </row>
    <row r="32" spans="1:11" s="29" customFormat="1" ht="51" customHeight="1" x14ac:dyDescent="0.2">
      <c r="A32" s="28">
        <v>3</v>
      </c>
      <c r="B32" s="152" t="s">
        <v>152</v>
      </c>
      <c r="C32" s="153" t="s">
        <v>131</v>
      </c>
      <c r="D32" s="153" t="s">
        <v>131</v>
      </c>
      <c r="E32" s="153" t="s">
        <v>131</v>
      </c>
      <c r="F32" s="154" t="s">
        <v>131</v>
      </c>
      <c r="G32" s="75" t="s">
        <v>193</v>
      </c>
      <c r="H32" s="156"/>
      <c r="I32" s="157"/>
      <c r="K32" s="27"/>
    </row>
    <row r="33" spans="1:11" s="29" customFormat="1" ht="11.25" customHeight="1" x14ac:dyDescent="0.2">
      <c r="A33" s="51" t="s">
        <v>52</v>
      </c>
      <c r="B33" s="163" t="s">
        <v>132</v>
      </c>
      <c r="C33" s="164"/>
      <c r="D33" s="164"/>
      <c r="E33" s="164"/>
      <c r="F33" s="164"/>
      <c r="G33" s="164"/>
      <c r="H33" s="164"/>
      <c r="I33" s="165"/>
      <c r="K33" s="27"/>
    </row>
    <row r="34" spans="1:11" s="29" customFormat="1" ht="36.75" customHeight="1" x14ac:dyDescent="0.2">
      <c r="A34" s="28">
        <v>1</v>
      </c>
      <c r="B34" s="152" t="s">
        <v>129</v>
      </c>
      <c r="C34" s="153" t="s">
        <v>129</v>
      </c>
      <c r="D34" s="153" t="s">
        <v>129</v>
      </c>
      <c r="E34" s="153" t="s">
        <v>129</v>
      </c>
      <c r="F34" s="154" t="s">
        <v>129</v>
      </c>
      <c r="G34" s="75" t="s">
        <v>193</v>
      </c>
      <c r="H34" s="151"/>
      <c r="I34" s="151"/>
      <c r="K34" s="27"/>
    </row>
    <row r="35" spans="1:11" s="29" customFormat="1" ht="29.25" customHeight="1" x14ac:dyDescent="0.2">
      <c r="A35" s="28">
        <v>2</v>
      </c>
      <c r="B35" s="152" t="s">
        <v>133</v>
      </c>
      <c r="C35" s="153" t="s">
        <v>133</v>
      </c>
      <c r="D35" s="153" t="s">
        <v>133</v>
      </c>
      <c r="E35" s="153" t="s">
        <v>133</v>
      </c>
      <c r="F35" s="154" t="s">
        <v>133</v>
      </c>
      <c r="G35" s="75" t="s">
        <v>193</v>
      </c>
      <c r="H35" s="151"/>
      <c r="I35" s="151"/>
      <c r="K35" s="27"/>
    </row>
    <row r="36" spans="1:11" s="29" customFormat="1" ht="22.5" customHeight="1" x14ac:dyDescent="0.2">
      <c r="A36" s="28">
        <v>3</v>
      </c>
      <c r="B36" s="152" t="s">
        <v>134</v>
      </c>
      <c r="C36" s="153" t="s">
        <v>134</v>
      </c>
      <c r="D36" s="153" t="s">
        <v>134</v>
      </c>
      <c r="E36" s="153" t="s">
        <v>134</v>
      </c>
      <c r="F36" s="154" t="s">
        <v>134</v>
      </c>
      <c r="G36" s="75" t="s">
        <v>193</v>
      </c>
      <c r="H36" s="151"/>
      <c r="I36" s="151"/>
      <c r="K36" s="27"/>
    </row>
    <row r="37" spans="1:11" s="29" customFormat="1" ht="11.25" customHeight="1" x14ac:dyDescent="0.2">
      <c r="A37" s="28">
        <v>4</v>
      </c>
      <c r="B37" s="152" t="s">
        <v>156</v>
      </c>
      <c r="C37" s="153" t="s">
        <v>135</v>
      </c>
      <c r="D37" s="153" t="s">
        <v>135</v>
      </c>
      <c r="E37" s="153" t="s">
        <v>135</v>
      </c>
      <c r="F37" s="154" t="s">
        <v>135</v>
      </c>
      <c r="G37" s="75" t="s">
        <v>193</v>
      </c>
      <c r="H37" s="151"/>
      <c r="I37" s="151"/>
      <c r="K37" s="27"/>
    </row>
    <row r="38" spans="1:11" s="29" customFormat="1" ht="11.25" customHeight="1" x14ac:dyDescent="0.2">
      <c r="A38" s="49" t="s">
        <v>53</v>
      </c>
      <c r="B38" s="168" t="s">
        <v>136</v>
      </c>
      <c r="C38" s="168"/>
      <c r="D38" s="168"/>
      <c r="E38" s="168"/>
      <c r="F38" s="168"/>
      <c r="G38" s="168"/>
      <c r="H38" s="168"/>
      <c r="I38" s="168"/>
    </row>
    <row r="39" spans="1:11" s="29" customFormat="1" ht="22.5" customHeight="1" x14ac:dyDescent="0.2">
      <c r="A39" s="28">
        <v>1</v>
      </c>
      <c r="B39" s="167" t="s">
        <v>146</v>
      </c>
      <c r="C39" s="167" t="s">
        <v>137</v>
      </c>
      <c r="D39" s="167" t="s">
        <v>137</v>
      </c>
      <c r="E39" s="167" t="s">
        <v>137</v>
      </c>
      <c r="F39" s="167" t="s">
        <v>137</v>
      </c>
      <c r="G39" s="75" t="s">
        <v>193</v>
      </c>
      <c r="H39" s="151"/>
      <c r="I39" s="151"/>
    </row>
    <row r="40" spans="1:11" s="29" customFormat="1" ht="24" customHeight="1" x14ac:dyDescent="0.2">
      <c r="A40" s="28">
        <v>2</v>
      </c>
      <c r="B40" s="152" t="s">
        <v>147</v>
      </c>
      <c r="C40" s="153" t="s">
        <v>138</v>
      </c>
      <c r="D40" s="153" t="s">
        <v>138</v>
      </c>
      <c r="E40" s="153" t="s">
        <v>138</v>
      </c>
      <c r="F40" s="154" t="s">
        <v>138</v>
      </c>
      <c r="G40" s="75" t="s">
        <v>193</v>
      </c>
      <c r="H40" s="151"/>
      <c r="I40" s="151"/>
      <c r="K40" s="27"/>
    </row>
    <row r="41" spans="1:11" s="29" customFormat="1" ht="22.5" customHeight="1" x14ac:dyDescent="0.2">
      <c r="A41" s="28">
        <v>3</v>
      </c>
      <c r="B41" s="152" t="s">
        <v>148</v>
      </c>
      <c r="C41" s="153" t="s">
        <v>139</v>
      </c>
      <c r="D41" s="153" t="s">
        <v>139</v>
      </c>
      <c r="E41" s="153" t="s">
        <v>139</v>
      </c>
      <c r="F41" s="154" t="s">
        <v>139</v>
      </c>
      <c r="G41" s="75" t="s">
        <v>193</v>
      </c>
      <c r="H41" s="151"/>
      <c r="I41" s="151"/>
      <c r="K41" s="27"/>
    </row>
    <row r="42" spans="1:11" s="29" customFormat="1" ht="37.5" customHeight="1" x14ac:dyDescent="0.2">
      <c r="A42" s="28">
        <v>4</v>
      </c>
      <c r="B42" s="152" t="s">
        <v>140</v>
      </c>
      <c r="C42" s="153" t="s">
        <v>140</v>
      </c>
      <c r="D42" s="153" t="s">
        <v>140</v>
      </c>
      <c r="E42" s="153" t="s">
        <v>140</v>
      </c>
      <c r="F42" s="154" t="s">
        <v>140</v>
      </c>
      <c r="G42" s="75" t="s">
        <v>193</v>
      </c>
      <c r="H42" s="151"/>
      <c r="I42" s="151"/>
      <c r="K42" s="27"/>
    </row>
    <row r="43" spans="1:11" s="29" customFormat="1" ht="30.75" customHeight="1" x14ac:dyDescent="0.2">
      <c r="A43" s="28">
        <v>5</v>
      </c>
      <c r="B43" s="152" t="s">
        <v>149</v>
      </c>
      <c r="C43" s="153" t="s">
        <v>141</v>
      </c>
      <c r="D43" s="153" t="s">
        <v>141</v>
      </c>
      <c r="E43" s="153" t="s">
        <v>141</v>
      </c>
      <c r="F43" s="154" t="s">
        <v>141</v>
      </c>
      <c r="G43" s="75" t="s">
        <v>193</v>
      </c>
      <c r="H43" s="151"/>
      <c r="I43" s="151"/>
      <c r="K43" s="27"/>
    </row>
    <row r="44" spans="1:11" s="29" customFormat="1" ht="30.75" customHeight="1" x14ac:dyDescent="0.2">
      <c r="A44" s="28">
        <v>6</v>
      </c>
      <c r="B44" s="167" t="s">
        <v>150</v>
      </c>
      <c r="C44" s="167" t="s">
        <v>142</v>
      </c>
      <c r="D44" s="167" t="s">
        <v>142</v>
      </c>
      <c r="E44" s="167" t="s">
        <v>142</v>
      </c>
      <c r="F44" s="167" t="s">
        <v>142</v>
      </c>
      <c r="G44" s="75" t="s">
        <v>193</v>
      </c>
      <c r="H44" s="151"/>
      <c r="I44" s="151"/>
    </row>
    <row r="45" spans="1:11" s="29" customFormat="1" x14ac:dyDescent="0.2">
      <c r="A45" s="28">
        <v>7</v>
      </c>
      <c r="B45" s="152" t="s">
        <v>143</v>
      </c>
      <c r="C45" s="153" t="s">
        <v>143</v>
      </c>
      <c r="D45" s="153" t="s">
        <v>143</v>
      </c>
      <c r="E45" s="153" t="s">
        <v>143</v>
      </c>
      <c r="F45" s="154" t="s">
        <v>143</v>
      </c>
      <c r="G45" s="75" t="s">
        <v>193</v>
      </c>
      <c r="H45" s="151"/>
      <c r="I45" s="151"/>
      <c r="K45" s="27"/>
    </row>
    <row r="46" spans="1:11" s="29" customFormat="1" ht="24" customHeight="1" x14ac:dyDescent="0.2">
      <c r="A46" s="28">
        <v>8</v>
      </c>
      <c r="B46" s="152" t="s">
        <v>144</v>
      </c>
      <c r="C46" s="153" t="s">
        <v>144</v>
      </c>
      <c r="D46" s="153" t="s">
        <v>144</v>
      </c>
      <c r="E46" s="153" t="s">
        <v>144</v>
      </c>
      <c r="F46" s="154" t="s">
        <v>144</v>
      </c>
      <c r="G46" s="75" t="s">
        <v>193</v>
      </c>
      <c r="H46" s="151"/>
      <c r="I46" s="151"/>
      <c r="K46" s="27"/>
    </row>
    <row r="47" spans="1:11" s="29" customFormat="1" ht="18.75" customHeight="1" x14ac:dyDescent="0.2">
      <c r="A47" s="28">
        <v>9</v>
      </c>
      <c r="B47" s="152" t="s">
        <v>151</v>
      </c>
      <c r="C47" s="153" t="s">
        <v>145</v>
      </c>
      <c r="D47" s="153" t="s">
        <v>145</v>
      </c>
      <c r="E47" s="153" t="s">
        <v>145</v>
      </c>
      <c r="F47" s="154" t="s">
        <v>145</v>
      </c>
      <c r="G47" s="75" t="s">
        <v>193</v>
      </c>
      <c r="H47" s="151"/>
      <c r="I47" s="151"/>
      <c r="K47" s="27"/>
    </row>
    <row r="48" spans="1:11" x14ac:dyDescent="0.2">
      <c r="K48" s="3"/>
    </row>
    <row r="49" spans="1:11" s="15" customFormat="1" ht="22.5" customHeight="1" x14ac:dyDescent="0.25">
      <c r="A49" s="15" t="s">
        <v>54</v>
      </c>
      <c r="C49" s="166"/>
      <c r="D49" s="166"/>
      <c r="E49" s="166"/>
      <c r="F49" s="166"/>
      <c r="G49" s="166"/>
      <c r="H49" s="166"/>
      <c r="I49" s="166"/>
    </row>
    <row r="50" spans="1:11" x14ac:dyDescent="0.2">
      <c r="K50" s="3"/>
    </row>
    <row r="51" spans="1:11" x14ac:dyDescent="0.2">
      <c r="A51" s="3" t="s">
        <v>64</v>
      </c>
      <c r="C51" s="3" t="str">
        <f>'Титульный лист'!B29</f>
        <v>инженер</v>
      </c>
      <c r="E51" s="2"/>
      <c r="F51" s="2"/>
      <c r="G51" s="2"/>
      <c r="H51" s="3" t="str">
        <f>'Титульный лист'!C29</f>
        <v>Блинник А.В.</v>
      </c>
      <c r="K51" s="3"/>
    </row>
    <row r="52" spans="1:11" x14ac:dyDescent="0.2">
      <c r="A52" s="3" t="s">
        <v>65</v>
      </c>
      <c r="C52" s="3" t="s">
        <v>63</v>
      </c>
      <c r="E52" s="2"/>
      <c r="F52" s="2"/>
      <c r="G52" s="2"/>
      <c r="H52" s="3">
        <f>'Титульный лист'!C30</f>
        <v>0</v>
      </c>
      <c r="K52" s="3"/>
    </row>
    <row r="53" spans="1:11" x14ac:dyDescent="0.2">
      <c r="A53" s="3" t="str">
        <f>'Титульный лист'!A31</f>
        <v xml:space="preserve"> </v>
      </c>
      <c r="C53" s="3" t="str">
        <f>'Титульный лист'!B31</f>
        <v xml:space="preserve"> </v>
      </c>
      <c r="E53" s="18"/>
      <c r="F53" s="18"/>
      <c r="G53" s="18"/>
      <c r="H53" s="3" t="str">
        <f>'Титульный лист'!C31</f>
        <v xml:space="preserve"> </v>
      </c>
      <c r="K53" s="3"/>
    </row>
    <row r="54" spans="1:11" x14ac:dyDescent="0.2">
      <c r="A54" s="3" t="s">
        <v>49</v>
      </c>
      <c r="C54" s="3" t="str">
        <f>'Титульный лист'!B32</f>
        <v>руководитель</v>
      </c>
      <c r="E54" s="2"/>
      <c r="F54" s="2"/>
      <c r="G54" s="2"/>
      <c r="H54" s="3" t="str">
        <f>'Титульный лист'!C32</f>
        <v>Смирнов С.А.</v>
      </c>
      <c r="K54" s="3"/>
    </row>
    <row r="55" spans="1:11" x14ac:dyDescent="0.2">
      <c r="K55" s="3"/>
    </row>
    <row r="56" spans="1:11" x14ac:dyDescent="0.2">
      <c r="K56" s="3"/>
    </row>
    <row r="57" spans="1:11" x14ac:dyDescent="0.2">
      <c r="K57" s="3"/>
    </row>
  </sheetData>
  <sheetProtection password="CF7A" sheet="1" objects="1" scenarios="1"/>
  <mergeCells count="65">
    <mergeCell ref="H34:I34"/>
    <mergeCell ref="H39:I39"/>
    <mergeCell ref="B32:F32"/>
    <mergeCell ref="B39:F39"/>
    <mergeCell ref="B38:I38"/>
    <mergeCell ref="B36:F36"/>
    <mergeCell ref="H32:I32"/>
    <mergeCell ref="H36:I36"/>
    <mergeCell ref="H35:I35"/>
    <mergeCell ref="H37:I37"/>
    <mergeCell ref="B37:F37"/>
    <mergeCell ref="B33:I33"/>
    <mergeCell ref="C49:I49"/>
    <mergeCell ref="B44:F44"/>
    <mergeCell ref="H44:I44"/>
    <mergeCell ref="B46:F46"/>
    <mergeCell ref="B47:F47"/>
    <mergeCell ref="H47:I47"/>
    <mergeCell ref="H45:I45"/>
    <mergeCell ref="B45:F45"/>
    <mergeCell ref="H46:I46"/>
    <mergeCell ref="H24:I24"/>
    <mergeCell ref="B23:I23"/>
    <mergeCell ref="B24:F24"/>
    <mergeCell ref="H31:I31"/>
    <mergeCell ref="B31:F31"/>
    <mergeCell ref="B28:F28"/>
    <mergeCell ref="B21:F21"/>
    <mergeCell ref="H21:I21"/>
    <mergeCell ref="H22:I22"/>
    <mergeCell ref="B22:F22"/>
    <mergeCell ref="B35:F35"/>
    <mergeCell ref="B34:F34"/>
    <mergeCell ref="H27:I27"/>
    <mergeCell ref="H26:I26"/>
    <mergeCell ref="B30:F30"/>
    <mergeCell ref="H30:I30"/>
    <mergeCell ref="B29:I29"/>
    <mergeCell ref="B26:F26"/>
    <mergeCell ref="B27:F27"/>
    <mergeCell ref="H28:I28"/>
    <mergeCell ref="H25:I25"/>
    <mergeCell ref="B25:F25"/>
    <mergeCell ref="B20:F20"/>
    <mergeCell ref="H20:I20"/>
    <mergeCell ref="H19:I19"/>
    <mergeCell ref="H18:I18"/>
    <mergeCell ref="B18:F18"/>
    <mergeCell ref="B19:F19"/>
    <mergeCell ref="A2:I2"/>
    <mergeCell ref="B17:F17"/>
    <mergeCell ref="H17:I17"/>
    <mergeCell ref="B15:I15"/>
    <mergeCell ref="H14:I14"/>
    <mergeCell ref="B14:F14"/>
    <mergeCell ref="B16:F16"/>
    <mergeCell ref="H16:I16"/>
    <mergeCell ref="H43:I43"/>
    <mergeCell ref="B43:F43"/>
    <mergeCell ref="B40:F40"/>
    <mergeCell ref="H40:I40"/>
    <mergeCell ref="B41:F41"/>
    <mergeCell ref="H41:I41"/>
    <mergeCell ref="B42:F42"/>
    <mergeCell ref="H42:I42"/>
  </mergeCells>
  <phoneticPr fontId="9" type="noConversion"/>
  <dataValidations count="1">
    <dataValidation type="list" allowBlank="1" showInputMessage="1" showErrorMessage="1" sqref="G16:G22 G24:G28 G30:G32 G34:G37 G39:G47">
      <formula1>"OK, NOK, NA"</formula1>
    </dataValidation>
  </dataValidations>
  <pageMargins left="0.7" right="0.7" top="0.75" bottom="0.75" header="0.3" footer="0.3"/>
  <pageSetup paperSize="9" scale="92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S242"/>
  <sheetViews>
    <sheetView zoomScale="115" zoomScaleNormal="115" zoomScaleSheetLayoutView="100" workbookViewId="0">
      <selection activeCell="F30" sqref="F30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7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225.5</v>
      </c>
      <c r="F8" s="9" t="s">
        <v>78</v>
      </c>
      <c r="G8" s="78">
        <v>224.2</v>
      </c>
      <c r="H8" s="9" t="s">
        <v>80</v>
      </c>
      <c r="I8" s="78">
        <v>236.6</v>
      </c>
    </row>
    <row r="9" spans="1:19" s="8" customFormat="1" x14ac:dyDescent="0.2">
      <c r="A9" s="172"/>
      <c r="B9" s="172"/>
      <c r="C9" s="172"/>
      <c r="D9" s="9" t="s">
        <v>77</v>
      </c>
      <c r="E9" s="78">
        <v>395</v>
      </c>
      <c r="F9" s="9" t="s">
        <v>79</v>
      </c>
      <c r="G9" s="78">
        <v>392</v>
      </c>
      <c r="H9" s="9" t="s">
        <v>81</v>
      </c>
      <c r="I9" s="78">
        <v>392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79">
        <v>3</v>
      </c>
      <c r="D12" s="66"/>
      <c r="S12" s="3" t="s">
        <v>68</v>
      </c>
    </row>
    <row r="13" spans="1:19" ht="12.75" x14ac:dyDescent="0.2">
      <c r="A13" s="124" t="s">
        <v>183</v>
      </c>
      <c r="C13" s="5"/>
      <c r="D13" s="128" t="s">
        <v>184</v>
      </c>
    </row>
    <row r="14" spans="1:19" x14ac:dyDescent="0.2">
      <c r="A14" s="66" t="s">
        <v>9</v>
      </c>
      <c r="B14" s="10"/>
      <c r="C14" s="10"/>
      <c r="D14" s="10"/>
      <c r="E14" s="10"/>
      <c r="G14" s="80" t="s">
        <v>202</v>
      </c>
      <c r="H14" s="10"/>
      <c r="I14" s="66"/>
    </row>
    <row r="15" spans="1:19" x14ac:dyDescent="0.2">
      <c r="A15" s="10" t="s">
        <v>24</v>
      </c>
      <c r="B15" s="10"/>
      <c r="C15" s="10"/>
      <c r="D15" s="10"/>
      <c r="E15" s="10"/>
      <c r="G15" s="81"/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3</v>
      </c>
      <c r="H16" s="10"/>
      <c r="I16" s="10"/>
    </row>
    <row r="17" spans="1:12" x14ac:dyDescent="0.2">
      <c r="A17" s="61" t="s">
        <v>165</v>
      </c>
      <c r="G17" s="100" t="s">
        <v>200</v>
      </c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23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53.36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19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 t="s">
        <v>195</v>
      </c>
      <c r="H24" s="79"/>
      <c r="I24" s="67"/>
      <c r="L24" s="66"/>
    </row>
    <row r="26" spans="1:12" ht="12.75" x14ac:dyDescent="0.2">
      <c r="A26" s="124" t="s">
        <v>44</v>
      </c>
    </row>
    <row r="27" spans="1:12" x14ac:dyDescent="0.2">
      <c r="A27" s="10" t="s">
        <v>157</v>
      </c>
      <c r="B27" s="10"/>
      <c r="C27" s="10"/>
      <c r="D27" s="10"/>
      <c r="F27" s="80">
        <v>2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4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 t="s">
        <v>196</v>
      </c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201</v>
      </c>
      <c r="G30" s="134" t="s">
        <v>201</v>
      </c>
      <c r="H30" s="147"/>
      <c r="I30" s="147"/>
    </row>
    <row r="31" spans="1:12" x14ac:dyDescent="0.2">
      <c r="A31" s="10" t="s">
        <v>181</v>
      </c>
      <c r="B31" s="10" t="s">
        <v>182</v>
      </c>
      <c r="C31" s="10"/>
      <c r="D31" s="10"/>
      <c r="F31" s="133">
        <v>150</v>
      </c>
      <c r="G31" s="146">
        <v>150</v>
      </c>
      <c r="H31" s="135"/>
      <c r="I31" s="135"/>
    </row>
    <row r="32" spans="1:12" x14ac:dyDescent="0.2">
      <c r="A32" s="66" t="s">
        <v>173</v>
      </c>
      <c r="B32" s="10"/>
      <c r="C32" s="10"/>
      <c r="D32" s="10"/>
      <c r="F32" s="130">
        <f>F27*F28</f>
        <v>8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F31+G31</f>
        <v>300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 t="s">
        <v>193</v>
      </c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 t="s">
        <v>193</v>
      </c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" t="s">
        <v>13</v>
      </c>
      <c r="G41" s="1" t="s">
        <v>14</v>
      </c>
      <c r="H41" s="1" t="s">
        <v>66</v>
      </c>
      <c r="I41" s="1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/>
      <c r="G42" s="83"/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5" spans="1:9" s="117" customFormat="1" x14ac:dyDescent="0.2">
      <c r="A45" s="115"/>
      <c r="B45" s="115"/>
      <c r="C45" s="115"/>
      <c r="D45" s="115"/>
      <c r="E45" s="115"/>
      <c r="F45" s="116"/>
      <c r="G45" s="116"/>
      <c r="H45" s="116"/>
      <c r="I45" s="116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s="8" customFormat="1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s="8" customFormat="1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12" s="8" customFormat="1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12" s="8" customFormat="1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12" s="8" customFormat="1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  <c r="L51" s="12"/>
    </row>
    <row r="52" spans="1:12" s="8" customFormat="1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12" s="8" customFormat="1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12" s="8" customFormat="1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12" s="117" customFormat="1" x14ac:dyDescent="0.2"/>
    <row r="56" spans="1:12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12" s="8" customFormat="1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12" s="8" customFormat="1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12" s="8" customFormat="1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12" s="8" customFormat="1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12" s="8" customFormat="1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12" s="8" customFormat="1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12" s="8" customFormat="1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12" s="8" customFormat="1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5" spans="1:12" s="117" customFormat="1" x14ac:dyDescent="0.2">
      <c r="A65" s="115"/>
      <c r="B65" s="115"/>
      <c r="C65" s="115"/>
      <c r="D65" s="115"/>
      <c r="E65" s="115"/>
      <c r="F65" s="116"/>
      <c r="G65" s="116"/>
      <c r="H65" s="116"/>
      <c r="I65" s="116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5" spans="1:12" s="117" customFormat="1" x14ac:dyDescent="0.2"/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118" customFormat="1" x14ac:dyDescent="0.2"/>
    <row r="86" spans="1:9" s="8" customFormat="1" x14ac:dyDescent="0.2"/>
    <row r="87" spans="1:9" s="8" customFormat="1" x14ac:dyDescent="0.2">
      <c r="A87" s="63" t="s">
        <v>166</v>
      </c>
      <c r="B87" s="80" t="s">
        <v>198</v>
      </c>
      <c r="C87" s="3"/>
      <c r="D87" s="62" t="s">
        <v>187</v>
      </c>
      <c r="E87" s="148">
        <v>8</v>
      </c>
      <c r="F87" s="3"/>
      <c r="G87" s="3"/>
      <c r="H87" s="3"/>
      <c r="I87" s="3"/>
    </row>
    <row r="88" spans="1:9" s="8" customFormat="1" x14ac:dyDescent="0.2">
      <c r="A88" s="3"/>
    </row>
    <row r="89" spans="1:9" s="8" customFormat="1" x14ac:dyDescent="0.2">
      <c r="A89" s="61" t="s">
        <v>189</v>
      </c>
      <c r="D89" s="95">
        <v>240</v>
      </c>
      <c r="E89" s="8" t="s">
        <v>169</v>
      </c>
    </row>
    <row r="90" spans="1:9" s="8" customFormat="1" x14ac:dyDescent="0.2">
      <c r="A90" s="3" t="s">
        <v>188</v>
      </c>
      <c r="D90" s="140">
        <f>F33/G21*60</f>
        <v>947.36842105263156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197</v>
      </c>
      <c r="G93" s="96">
        <v>87450047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H21:I21"/>
    <mergeCell ref="A21:F21"/>
    <mergeCell ref="H38:I38"/>
    <mergeCell ref="A76:I76"/>
    <mergeCell ref="A43:E43"/>
    <mergeCell ref="A42:E42"/>
    <mergeCell ref="A56:I56"/>
    <mergeCell ref="B57:E57"/>
    <mergeCell ref="F57:I57"/>
    <mergeCell ref="A41:E41"/>
    <mergeCell ref="B77:E77"/>
    <mergeCell ref="F77:I77"/>
    <mergeCell ref="A39:F39"/>
    <mergeCell ref="A38:F38"/>
    <mergeCell ref="H36:I36"/>
    <mergeCell ref="H37:I37"/>
    <mergeCell ref="A36:F36"/>
    <mergeCell ref="H39:I39"/>
    <mergeCell ref="A37:F37"/>
    <mergeCell ref="B67:E67"/>
    <mergeCell ref="F67:I67"/>
    <mergeCell ref="A66:I66"/>
    <mergeCell ref="A44:E44"/>
    <mergeCell ref="A46:I46"/>
    <mergeCell ref="B47:E47"/>
    <mergeCell ref="F47:I47"/>
    <mergeCell ref="A8:C9"/>
    <mergeCell ref="A10:C11"/>
    <mergeCell ref="H18:I18"/>
    <mergeCell ref="A20:F20"/>
    <mergeCell ref="A19:F19"/>
    <mergeCell ref="A18:F18"/>
    <mergeCell ref="H20:I20"/>
    <mergeCell ref="H19:I19"/>
    <mergeCell ref="A2:I2"/>
    <mergeCell ref="A4:B4"/>
    <mergeCell ref="D4:I4"/>
    <mergeCell ref="C5:I5"/>
    <mergeCell ref="A5:B5"/>
  </mergeCells>
  <phoneticPr fontId="9" type="noConversion"/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S242"/>
  <sheetViews>
    <sheetView zoomScale="120" zoomScaleNormal="120" zoomScaleSheetLayoutView="100" workbookViewId="0">
      <selection activeCell="J30" sqref="J30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73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(2)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205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/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5</v>
      </c>
      <c r="H16" s="10"/>
      <c r="I16" s="10"/>
    </row>
    <row r="17" spans="1:12" x14ac:dyDescent="0.2">
      <c r="A17" s="61" t="s">
        <v>165</v>
      </c>
      <c r="G17" s="100" t="s">
        <v>199</v>
      </c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53.5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15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 t="s">
        <v>195</v>
      </c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2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4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 t="s">
        <v>196</v>
      </c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206</v>
      </c>
      <c r="G30" s="134" t="s">
        <v>201</v>
      </c>
      <c r="H30" s="147"/>
      <c r="I30" s="147"/>
    </row>
    <row r="31" spans="1:12" x14ac:dyDescent="0.2">
      <c r="A31" s="10" t="s">
        <v>181</v>
      </c>
      <c r="B31" s="10" t="s">
        <v>182</v>
      </c>
      <c r="C31" s="10"/>
      <c r="D31" s="10"/>
      <c r="F31" s="146">
        <v>150</v>
      </c>
      <c r="G31" s="146">
        <v>150</v>
      </c>
      <c r="H31" s="135"/>
      <c r="I31" s="135"/>
    </row>
    <row r="32" spans="1:12" x14ac:dyDescent="0.2">
      <c r="A32" s="66" t="s">
        <v>173</v>
      </c>
      <c r="B32" s="10"/>
      <c r="C32" s="10"/>
      <c r="D32" s="10"/>
      <c r="F32" s="130">
        <f>F28*F27</f>
        <v>8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F31+G31</f>
        <v>300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72" t="s">
        <v>13</v>
      </c>
      <c r="G41" s="72" t="s">
        <v>14</v>
      </c>
      <c r="H41" s="72" t="s">
        <v>66</v>
      </c>
      <c r="I41" s="72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 t="s">
        <v>198</v>
      </c>
      <c r="C87" s="3"/>
      <c r="D87" s="62" t="s">
        <v>167</v>
      </c>
      <c r="E87" s="96">
        <v>8</v>
      </c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300</v>
      </c>
      <c r="E89" s="8" t="s">
        <v>169</v>
      </c>
    </row>
    <row r="90" spans="1:9" s="8" customFormat="1" x14ac:dyDescent="0.2">
      <c r="A90" s="3" t="s">
        <v>188</v>
      </c>
      <c r="D90" s="140">
        <f>F33/G21*60</f>
        <v>1200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197</v>
      </c>
      <c r="G93" s="96">
        <v>87450047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A43:E43"/>
    <mergeCell ref="A44:E44"/>
    <mergeCell ref="A66:I66"/>
    <mergeCell ref="B67:E67"/>
    <mergeCell ref="F67:I67"/>
    <mergeCell ref="A76:I76"/>
    <mergeCell ref="A46:I46"/>
    <mergeCell ref="B47:E47"/>
    <mergeCell ref="F47:I47"/>
    <mergeCell ref="A56:I56"/>
    <mergeCell ref="B57:E57"/>
    <mergeCell ref="F57:I57"/>
    <mergeCell ref="A42:E42"/>
    <mergeCell ref="A21:F21"/>
    <mergeCell ref="H21:I21"/>
    <mergeCell ref="A36:F36"/>
    <mergeCell ref="H36:I36"/>
    <mergeCell ref="A37:F37"/>
    <mergeCell ref="H37:I37"/>
    <mergeCell ref="A38:F38"/>
    <mergeCell ref="H38:I38"/>
    <mergeCell ref="A39:F39"/>
    <mergeCell ref="H39:I39"/>
    <mergeCell ref="A41:E41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S242"/>
  <sheetViews>
    <sheetView zoomScale="120" zoomScaleNormal="120" zoomScaleSheetLayoutView="100" workbookViewId="0">
      <selection activeCell="H87" sqref="H87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144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(3)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207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/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2</v>
      </c>
      <c r="H16" s="10"/>
      <c r="I16" s="10"/>
    </row>
    <row r="17" spans="1:12" x14ac:dyDescent="0.2">
      <c r="A17" s="61" t="s">
        <v>165</v>
      </c>
      <c r="G17" s="100" t="s">
        <v>199</v>
      </c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53.5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18.2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 t="s">
        <v>195</v>
      </c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2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4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 t="s">
        <v>196</v>
      </c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208</v>
      </c>
      <c r="G30" s="134" t="s">
        <v>208</v>
      </c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>
        <v>100</v>
      </c>
      <c r="G31" s="133">
        <v>100</v>
      </c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8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F31+G31</f>
        <v>200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 t="s">
        <v>198</v>
      </c>
      <c r="C87" s="3"/>
      <c r="D87" s="62" t="s">
        <v>167</v>
      </c>
      <c r="E87" s="96">
        <v>8</v>
      </c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180</v>
      </c>
      <c r="E89" s="8" t="s">
        <v>169</v>
      </c>
    </row>
    <row r="90" spans="1:9" s="8" customFormat="1" x14ac:dyDescent="0.2">
      <c r="A90" s="3" t="s">
        <v>188</v>
      </c>
      <c r="D90" s="140">
        <f>F33/G21*60</f>
        <v>659.34065934065939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21:F21"/>
    <mergeCell ref="H21:I21"/>
    <mergeCell ref="A36:F36"/>
    <mergeCell ref="H36:I36"/>
    <mergeCell ref="A37:F37"/>
    <mergeCell ref="H37:I37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B77:E77"/>
    <mergeCell ref="F77:I77"/>
    <mergeCell ref="B57:E57"/>
    <mergeCell ref="F57:I57"/>
    <mergeCell ref="A66:I66"/>
    <mergeCell ref="B67:E67"/>
    <mergeCell ref="F67:I67"/>
    <mergeCell ref="A76:I76"/>
  </mergeCells>
  <dataValidations count="6"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G37:G39">
      <formula1>"OK, NOK, NA"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144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(4)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0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0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21:F21"/>
    <mergeCell ref="H21:I21"/>
    <mergeCell ref="A36:F36"/>
    <mergeCell ref="H36:I36"/>
    <mergeCell ref="A37:F37"/>
    <mergeCell ref="H37:I37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B77:E77"/>
    <mergeCell ref="F77:I77"/>
    <mergeCell ref="B57:E57"/>
    <mergeCell ref="F57:I57"/>
    <mergeCell ref="A66:I66"/>
    <mergeCell ref="B67:E67"/>
    <mergeCell ref="F67:I67"/>
    <mergeCell ref="A76:I76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144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(5)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0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0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21:F21"/>
    <mergeCell ref="H21:I21"/>
    <mergeCell ref="A36:F36"/>
    <mergeCell ref="H36:I36"/>
    <mergeCell ref="A37:F37"/>
    <mergeCell ref="H37:I37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B77:E77"/>
    <mergeCell ref="F77:I77"/>
    <mergeCell ref="B57:E57"/>
    <mergeCell ref="F57:I57"/>
    <mergeCell ref="A66:I66"/>
    <mergeCell ref="B67:E67"/>
    <mergeCell ref="F67:I67"/>
    <mergeCell ref="A76:I76"/>
  </mergeCells>
  <dataValidations count="6"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G37:G39">
      <formula1>"OK, NOK, NA"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144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(6)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0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0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21:F21"/>
    <mergeCell ref="H21:I21"/>
    <mergeCell ref="A36:F36"/>
    <mergeCell ref="H36:I36"/>
    <mergeCell ref="A37:F37"/>
    <mergeCell ref="H37:I37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B77:E77"/>
    <mergeCell ref="F77:I77"/>
    <mergeCell ref="B57:E57"/>
    <mergeCell ref="F57:I57"/>
    <mergeCell ref="A66:I66"/>
    <mergeCell ref="B67:E67"/>
    <mergeCell ref="F67:I67"/>
    <mergeCell ref="A76:I76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144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(7)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0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0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21:F21"/>
    <mergeCell ref="H21:I21"/>
    <mergeCell ref="A36:F36"/>
    <mergeCell ref="H36:I36"/>
    <mergeCell ref="A37:F37"/>
    <mergeCell ref="H37:I37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B77:E77"/>
    <mergeCell ref="F77:I77"/>
    <mergeCell ref="B57:E57"/>
    <mergeCell ref="F57:I57"/>
    <mergeCell ref="A66:I66"/>
    <mergeCell ref="B67:E67"/>
    <mergeCell ref="F67:I67"/>
    <mergeCell ref="A76:I76"/>
  </mergeCells>
  <dataValidations count="6"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G37:G39">
      <formula1>"OK, NOK, NA"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144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(8)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0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0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21:F21"/>
    <mergeCell ref="H21:I21"/>
    <mergeCell ref="A36:F36"/>
    <mergeCell ref="H36:I36"/>
    <mergeCell ref="A37:F37"/>
    <mergeCell ref="H37:I37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B77:E77"/>
    <mergeCell ref="F77:I77"/>
    <mergeCell ref="B57:E57"/>
    <mergeCell ref="F57:I57"/>
    <mergeCell ref="A66:I66"/>
    <mergeCell ref="B67:E67"/>
    <mergeCell ref="F67:I67"/>
    <mergeCell ref="A76:I76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144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(9)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0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0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21:F21"/>
    <mergeCell ref="H21:I21"/>
    <mergeCell ref="A36:F36"/>
    <mergeCell ref="H36:I36"/>
    <mergeCell ref="A37:F37"/>
    <mergeCell ref="H37:I37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B77:E77"/>
    <mergeCell ref="F77:I77"/>
    <mergeCell ref="B57:E57"/>
    <mergeCell ref="F57:I57"/>
    <mergeCell ref="A66:I66"/>
    <mergeCell ref="B67:E67"/>
    <mergeCell ref="F67:I67"/>
    <mergeCell ref="A76:I76"/>
  </mergeCells>
  <dataValidations count="6"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G37:G39">
      <formula1>"OK, NOK, NA"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25001066368</v>
      </c>
      <c r="C1" s="112" t="s">
        <v>174</v>
      </c>
      <c r="D1" s="113"/>
      <c r="E1" s="113"/>
    </row>
    <row r="2" spans="1:19" s="4" customFormat="1" ht="15" x14ac:dyDescent="0.25">
      <c r="A2" s="169" t="s">
        <v>28</v>
      </c>
      <c r="B2" s="169"/>
      <c r="C2" s="169"/>
      <c r="D2" s="169"/>
      <c r="E2" s="169"/>
      <c r="F2" s="169"/>
      <c r="G2" s="169"/>
      <c r="H2" s="169"/>
      <c r="I2" s="169"/>
    </row>
    <row r="3" spans="1:19" x14ac:dyDescent="0.2">
      <c r="H3" s="5" t="s">
        <v>7</v>
      </c>
      <c r="I3" s="6">
        <f>'Титульный лист'!B25</f>
        <v>44103</v>
      </c>
    </row>
    <row r="4" spans="1:19" x14ac:dyDescent="0.2">
      <c r="A4" s="170" t="s">
        <v>3</v>
      </c>
      <c r="B4" s="170"/>
      <c r="C4" s="144">
        <f>'Титульный лист'!B19</f>
        <v>25001066368</v>
      </c>
      <c r="D4" s="171" t="str">
        <f>'Титульный лист'!B20</f>
        <v>АдгР-Майкоп-РТПЦ</v>
      </c>
      <c r="E4" s="171"/>
      <c r="F4" s="171"/>
      <c r="G4" s="171"/>
      <c r="H4" s="171"/>
      <c r="I4" s="171"/>
    </row>
    <row r="5" spans="1:19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  <c r="I5" s="171"/>
    </row>
    <row r="7" spans="1:19" x14ac:dyDescent="0.2">
      <c r="A7" s="3" t="s">
        <v>8</v>
      </c>
    </row>
    <row r="8" spans="1:19" s="8" customFormat="1" x14ac:dyDescent="0.2">
      <c r="A8" s="172" t="s">
        <v>21</v>
      </c>
      <c r="B8" s="172"/>
      <c r="C8" s="17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72"/>
      <c r="B9" s="172"/>
      <c r="C9" s="17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72" t="s">
        <v>159</v>
      </c>
      <c r="B10" s="172"/>
      <c r="C10" s="17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72"/>
      <c r="B11" s="172"/>
      <c r="C11" s="17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3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(10)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3" t="s">
        <v>41</v>
      </c>
      <c r="B18" s="173"/>
      <c r="C18" s="173"/>
      <c r="D18" s="173"/>
      <c r="E18" s="173"/>
      <c r="F18" s="173"/>
      <c r="G18" s="11" t="s">
        <v>34</v>
      </c>
      <c r="H18" s="173" t="s">
        <v>29</v>
      </c>
      <c r="I18" s="173"/>
    </row>
    <row r="19" spans="1:12" x14ac:dyDescent="0.2">
      <c r="A19" s="174" t="s">
        <v>61</v>
      </c>
      <c r="B19" s="174"/>
      <c r="C19" s="174"/>
      <c r="D19" s="174"/>
      <c r="E19" s="174"/>
      <c r="F19" s="174"/>
      <c r="G19" s="78">
        <v>0</v>
      </c>
      <c r="H19" s="175"/>
      <c r="I19" s="175"/>
    </row>
    <row r="20" spans="1:12" x14ac:dyDescent="0.2">
      <c r="A20" s="174" t="s">
        <v>22</v>
      </c>
      <c r="B20" s="174"/>
      <c r="C20" s="174"/>
      <c r="D20" s="174"/>
      <c r="E20" s="174"/>
      <c r="F20" s="174"/>
      <c r="G20" s="78">
        <v>0</v>
      </c>
      <c r="H20" s="175"/>
      <c r="I20" s="175"/>
    </row>
    <row r="21" spans="1:12" x14ac:dyDescent="0.2">
      <c r="A21" s="174" t="s">
        <v>23</v>
      </c>
      <c r="B21" s="174"/>
      <c r="C21" s="174"/>
      <c r="D21" s="174"/>
      <c r="E21" s="174"/>
      <c r="F21" s="174"/>
      <c r="G21" s="139">
        <v>0</v>
      </c>
      <c r="H21" s="175"/>
      <c r="I21" s="175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3" t="s">
        <v>41</v>
      </c>
      <c r="B36" s="173"/>
      <c r="C36" s="173"/>
      <c r="D36" s="173"/>
      <c r="E36" s="173"/>
      <c r="F36" s="173"/>
      <c r="G36" s="11" t="s">
        <v>34</v>
      </c>
      <c r="H36" s="173" t="s">
        <v>29</v>
      </c>
      <c r="I36" s="173"/>
    </row>
    <row r="37" spans="1:9" x14ac:dyDescent="0.2">
      <c r="A37" s="174" t="s">
        <v>42</v>
      </c>
      <c r="B37" s="174"/>
      <c r="C37" s="174"/>
      <c r="D37" s="174"/>
      <c r="E37" s="174"/>
      <c r="F37" s="174"/>
      <c r="G37" s="78"/>
      <c r="H37" s="175"/>
      <c r="I37" s="175"/>
    </row>
    <row r="38" spans="1:9" x14ac:dyDescent="0.2">
      <c r="A38" s="174" t="s">
        <v>47</v>
      </c>
      <c r="B38" s="174"/>
      <c r="C38" s="174"/>
      <c r="D38" s="174"/>
      <c r="E38" s="174"/>
      <c r="F38" s="174"/>
      <c r="G38" s="78"/>
      <c r="H38" s="175"/>
      <c r="I38" s="175"/>
    </row>
    <row r="39" spans="1:9" x14ac:dyDescent="0.2">
      <c r="A39" s="174" t="s">
        <v>62</v>
      </c>
      <c r="B39" s="174"/>
      <c r="C39" s="174"/>
      <c r="D39" s="174"/>
      <c r="E39" s="174"/>
      <c r="F39" s="174"/>
      <c r="G39" s="78"/>
      <c r="H39" s="175"/>
      <c r="I39" s="175"/>
    </row>
    <row r="41" spans="1:9" s="8" customFormat="1" x14ac:dyDescent="0.2">
      <c r="A41" s="173" t="s">
        <v>25</v>
      </c>
      <c r="B41" s="173"/>
      <c r="C41" s="173"/>
      <c r="D41" s="173"/>
      <c r="E41" s="173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74" t="s">
        <v>39</v>
      </c>
      <c r="B42" s="174"/>
      <c r="C42" s="174"/>
      <c r="D42" s="174"/>
      <c r="E42" s="174"/>
      <c r="F42" s="83">
        <v>0</v>
      </c>
      <c r="G42" s="83">
        <v>0</v>
      </c>
      <c r="H42" s="83"/>
      <c r="I42" s="83"/>
    </row>
    <row r="43" spans="1:9" x14ac:dyDescent="0.2">
      <c r="A43" s="174" t="s">
        <v>40</v>
      </c>
      <c r="B43" s="174"/>
      <c r="C43" s="174"/>
      <c r="D43" s="174"/>
      <c r="E43" s="174"/>
      <c r="F43" s="78">
        <v>0</v>
      </c>
      <c r="G43" s="78">
        <v>0</v>
      </c>
      <c r="H43" s="78"/>
      <c r="I43" s="78"/>
    </row>
    <row r="44" spans="1:9" x14ac:dyDescent="0.2">
      <c r="A44" s="184" t="s">
        <v>26</v>
      </c>
      <c r="B44" s="185"/>
      <c r="C44" s="185"/>
      <c r="D44" s="185"/>
      <c r="E44" s="186"/>
      <c r="F44" s="78">
        <v>0</v>
      </c>
      <c r="G44" s="78">
        <v>0</v>
      </c>
      <c r="H44" s="78"/>
      <c r="I44" s="78"/>
    </row>
    <row r="46" spans="1:9" ht="12" thickBot="1" x14ac:dyDescent="0.25">
      <c r="A46" s="183" t="s">
        <v>160</v>
      </c>
      <c r="B46" s="183"/>
      <c r="C46" s="183"/>
      <c r="D46" s="183"/>
      <c r="E46" s="183"/>
      <c r="F46" s="183"/>
      <c r="G46" s="183"/>
      <c r="H46" s="183"/>
      <c r="I46" s="183"/>
    </row>
    <row r="47" spans="1:9" ht="12" thickBot="1" x14ac:dyDescent="0.25">
      <c r="A47" s="59" t="s">
        <v>69</v>
      </c>
      <c r="B47" s="179" t="s">
        <v>162</v>
      </c>
      <c r="C47" s="180"/>
      <c r="D47" s="180"/>
      <c r="E47" s="181"/>
      <c r="F47" s="182" t="s">
        <v>163</v>
      </c>
      <c r="G47" s="180"/>
      <c r="H47" s="180"/>
      <c r="I47" s="181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83" t="s">
        <v>161</v>
      </c>
      <c r="B56" s="183"/>
      <c r="C56" s="183"/>
      <c r="D56" s="183"/>
      <c r="E56" s="183"/>
      <c r="F56" s="183"/>
      <c r="G56" s="183"/>
      <c r="H56" s="183"/>
      <c r="I56" s="183"/>
    </row>
    <row r="57" spans="1:9" ht="12" thickBot="1" x14ac:dyDescent="0.25">
      <c r="A57" s="60" t="s">
        <v>69</v>
      </c>
      <c r="B57" s="176" t="s">
        <v>164</v>
      </c>
      <c r="C57" s="177"/>
      <c r="D57" s="177"/>
      <c r="E57" s="178"/>
      <c r="F57" s="176" t="s">
        <v>163</v>
      </c>
      <c r="G57" s="177"/>
      <c r="H57" s="177"/>
      <c r="I57" s="178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83" t="s">
        <v>179</v>
      </c>
      <c r="B66" s="183"/>
      <c r="C66" s="183"/>
      <c r="D66" s="183"/>
      <c r="E66" s="183"/>
      <c r="F66" s="183"/>
      <c r="G66" s="183"/>
      <c r="H66" s="183"/>
      <c r="I66" s="183"/>
    </row>
    <row r="67" spans="1:12" s="8" customFormat="1" ht="12" thickBot="1" x14ac:dyDescent="0.25">
      <c r="A67" s="59" t="s">
        <v>69</v>
      </c>
      <c r="B67" s="179" t="s">
        <v>162</v>
      </c>
      <c r="C67" s="180"/>
      <c r="D67" s="180"/>
      <c r="E67" s="181"/>
      <c r="F67" s="182" t="s">
        <v>163</v>
      </c>
      <c r="G67" s="180"/>
      <c r="H67" s="180"/>
      <c r="I67" s="181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83" t="s">
        <v>178</v>
      </c>
      <c r="B76" s="183"/>
      <c r="C76" s="183"/>
      <c r="D76" s="183"/>
      <c r="E76" s="183"/>
      <c r="F76" s="183"/>
      <c r="G76" s="183"/>
      <c r="H76" s="183"/>
      <c r="I76" s="183"/>
    </row>
    <row r="77" spans="1:12" s="8" customFormat="1" ht="12" thickBot="1" x14ac:dyDescent="0.25">
      <c r="A77" s="60" t="s">
        <v>69</v>
      </c>
      <c r="B77" s="176" t="s">
        <v>164</v>
      </c>
      <c r="C77" s="177"/>
      <c r="D77" s="177"/>
      <c r="E77" s="178"/>
      <c r="F77" s="176" t="s">
        <v>163</v>
      </c>
      <c r="G77" s="177"/>
      <c r="H77" s="177"/>
      <c r="I77" s="178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21:F21"/>
    <mergeCell ref="H21:I21"/>
    <mergeCell ref="A36:F36"/>
    <mergeCell ref="H36:I36"/>
    <mergeCell ref="A37:F37"/>
    <mergeCell ref="H37:I37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B77:E77"/>
    <mergeCell ref="F77:I77"/>
    <mergeCell ref="B57:E57"/>
    <mergeCell ref="F57:I57"/>
    <mergeCell ref="A66:I66"/>
    <mergeCell ref="B67:E67"/>
    <mergeCell ref="F67:I67"/>
    <mergeCell ref="A76:I76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91"/>
  <sheetViews>
    <sheetView zoomScale="115" zoomScaleNormal="115" zoomScaleSheetLayoutView="100" workbookViewId="0">
      <selection activeCell="E27" sqref="E27:F27"/>
    </sheetView>
  </sheetViews>
  <sheetFormatPr defaultColWidth="9.140625" defaultRowHeight="11.25" x14ac:dyDescent="0.2"/>
  <cols>
    <col min="1" max="1" width="14.42578125" style="3" customWidth="1"/>
    <col min="2" max="2" width="11.5703125" style="3" customWidth="1"/>
    <col min="3" max="3" width="25.85546875" style="3" customWidth="1"/>
    <col min="4" max="4" width="15" style="3" customWidth="1"/>
    <col min="5" max="5" width="9.42578125" style="3" customWidth="1"/>
    <col min="6" max="6" width="20" style="3" customWidth="1"/>
    <col min="7" max="8" width="9.42578125" style="3" customWidth="1"/>
    <col min="9" max="16384" width="9.140625" style="3"/>
  </cols>
  <sheetData>
    <row r="1" spans="1:25" x14ac:dyDescent="0.2">
      <c r="A1" s="2" t="str">
        <f>'Титульный лист'!A1</f>
        <v>ТО БС 25001066368</v>
      </c>
      <c r="C1" s="112" t="s">
        <v>174</v>
      </c>
      <c r="D1" s="113"/>
    </row>
    <row r="2" spans="1:25" ht="15" x14ac:dyDescent="0.25">
      <c r="A2" s="169" t="s">
        <v>108</v>
      </c>
      <c r="B2" s="169"/>
      <c r="C2" s="169"/>
      <c r="D2" s="169"/>
      <c r="E2" s="169"/>
      <c r="F2" s="169"/>
      <c r="G2" s="169"/>
      <c r="H2" s="169"/>
    </row>
    <row r="3" spans="1:25" x14ac:dyDescent="0.2">
      <c r="F3" s="3" t="s">
        <v>7</v>
      </c>
      <c r="G3" s="6">
        <f>'Титульный лист'!B25</f>
        <v>44103</v>
      </c>
    </row>
    <row r="4" spans="1:25" x14ac:dyDescent="0.2">
      <c r="A4" s="170" t="s">
        <v>3</v>
      </c>
      <c r="B4" s="170"/>
      <c r="C4" s="7">
        <f>'Титульный лист'!B19</f>
        <v>25001066368</v>
      </c>
      <c r="D4" s="171"/>
      <c r="E4" s="171"/>
      <c r="F4" s="171"/>
      <c r="G4" s="171"/>
      <c r="H4" s="171"/>
    </row>
    <row r="5" spans="1:25" x14ac:dyDescent="0.2">
      <c r="A5" s="170" t="s">
        <v>4</v>
      </c>
      <c r="B5" s="170"/>
      <c r="C5" s="171" t="str">
        <f>'Титульный лист'!B21</f>
        <v>Адыгея Респ, Майкоп г, Лесопарковая зона, кв-л 108. Башня РТПЦ.</v>
      </c>
      <c r="D5" s="171"/>
      <c r="E5" s="171"/>
      <c r="F5" s="171"/>
      <c r="G5" s="171"/>
      <c r="H5" s="171"/>
    </row>
    <row r="6" spans="1:25" x14ac:dyDescent="0.2">
      <c r="A6" s="98"/>
      <c r="B6" s="98"/>
      <c r="C6" s="99"/>
      <c r="D6" s="99"/>
      <c r="E6" s="99"/>
      <c r="F6" s="99"/>
      <c r="G6" s="99"/>
      <c r="H6" s="99"/>
    </row>
    <row r="7" spans="1:25" x14ac:dyDescent="0.2">
      <c r="A7" s="114" t="s">
        <v>175</v>
      </c>
      <c r="B7" s="98"/>
      <c r="C7" s="99"/>
      <c r="D7" s="99"/>
      <c r="E7" s="99"/>
      <c r="F7" s="99"/>
      <c r="G7" s="99"/>
      <c r="H7" s="99"/>
    </row>
    <row r="8" spans="1:25" x14ac:dyDescent="0.2">
      <c r="A8" s="114" t="s">
        <v>176</v>
      </c>
      <c r="B8" s="98"/>
      <c r="C8" s="99"/>
      <c r="D8" s="99"/>
      <c r="E8" s="99"/>
      <c r="F8" s="99"/>
      <c r="G8" s="99"/>
      <c r="H8" s="99"/>
    </row>
    <row r="9" spans="1:25" x14ac:dyDescent="0.2">
      <c r="A9" s="114" t="s">
        <v>177</v>
      </c>
      <c r="B9" s="98"/>
      <c r="C9" s="99"/>
      <c r="D9" s="99"/>
      <c r="E9" s="99"/>
      <c r="F9" s="99"/>
      <c r="G9" s="99"/>
      <c r="H9" s="99"/>
    </row>
    <row r="10" spans="1:25" x14ac:dyDescent="0.2">
      <c r="A10" s="98"/>
      <c r="B10" s="98"/>
      <c r="C10" s="98"/>
      <c r="D10" s="99"/>
      <c r="E10" s="99"/>
      <c r="F10" s="99"/>
      <c r="G10" s="99"/>
      <c r="H10" s="99"/>
    </row>
    <row r="11" spans="1:25" s="44" customFormat="1" ht="12" customHeight="1" x14ac:dyDescent="0.25">
      <c r="A11" s="35" t="s">
        <v>82</v>
      </c>
      <c r="B11" s="193" t="s">
        <v>153</v>
      </c>
      <c r="C11" s="193"/>
      <c r="D11" s="193"/>
      <c r="E11" s="193"/>
      <c r="F11" s="42"/>
      <c r="G11" s="42"/>
      <c r="H11" s="42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s="44" customFormat="1" ht="23.25" customHeight="1" x14ac:dyDescent="0.25">
      <c r="A12" s="36" t="s">
        <v>83</v>
      </c>
      <c r="B12" s="39" t="s">
        <v>33</v>
      </c>
      <c r="C12" s="36" t="s">
        <v>84</v>
      </c>
      <c r="D12" s="36" t="s">
        <v>34</v>
      </c>
      <c r="E12" s="194" t="s">
        <v>29</v>
      </c>
      <c r="F12" s="195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</row>
    <row r="13" spans="1:25" s="44" customFormat="1" ht="15" x14ac:dyDescent="0.25">
      <c r="A13" s="101">
        <v>0</v>
      </c>
      <c r="B13" s="102"/>
      <c r="C13" s="109"/>
      <c r="D13" s="76"/>
      <c r="E13" s="187"/>
      <c r="F13" s="188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</row>
    <row r="14" spans="1:25" s="44" customFormat="1" ht="15" x14ac:dyDescent="0.25">
      <c r="A14" s="101">
        <v>1</v>
      </c>
      <c r="B14" s="102"/>
      <c r="C14" s="109"/>
      <c r="D14" s="76"/>
      <c r="E14" s="187"/>
      <c r="F14" s="188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</row>
    <row r="15" spans="1:25" s="44" customFormat="1" ht="33.75" x14ac:dyDescent="0.25">
      <c r="A15" s="103">
        <v>2</v>
      </c>
      <c r="B15" s="104" t="s">
        <v>91</v>
      </c>
      <c r="C15" s="110" t="s">
        <v>104</v>
      </c>
      <c r="D15" s="77" t="s">
        <v>194</v>
      </c>
      <c r="E15" s="189"/>
      <c r="F15" s="190"/>
      <c r="G15" s="45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</row>
    <row r="16" spans="1:25" s="44" customFormat="1" ht="22.5" x14ac:dyDescent="0.25">
      <c r="A16" s="101">
        <v>3</v>
      </c>
      <c r="B16" s="102" t="s">
        <v>92</v>
      </c>
      <c r="C16" s="110" t="s">
        <v>89</v>
      </c>
      <c r="D16" s="127" t="s">
        <v>193</v>
      </c>
      <c r="E16" s="189"/>
      <c r="F16" s="190"/>
      <c r="G16" s="45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</row>
    <row r="17" spans="1:23" s="44" customFormat="1" ht="22.5" x14ac:dyDescent="0.25">
      <c r="A17" s="103">
        <v>4</v>
      </c>
      <c r="B17" s="104" t="s">
        <v>93</v>
      </c>
      <c r="C17" s="110" t="s">
        <v>100</v>
      </c>
      <c r="D17" s="77" t="s">
        <v>193</v>
      </c>
      <c r="E17" s="189"/>
      <c r="F17" s="190"/>
      <c r="G17" s="45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</row>
    <row r="18" spans="1:23" s="44" customFormat="1" ht="22.5" x14ac:dyDescent="0.25">
      <c r="A18" s="103">
        <v>5</v>
      </c>
      <c r="B18" s="104" t="s">
        <v>94</v>
      </c>
      <c r="C18" s="110" t="s">
        <v>105</v>
      </c>
      <c r="D18" s="77" t="s">
        <v>194</v>
      </c>
      <c r="E18" s="189"/>
      <c r="F18" s="190"/>
      <c r="G18" s="45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</row>
    <row r="19" spans="1:23" s="44" customFormat="1" ht="22.5" x14ac:dyDescent="0.25">
      <c r="A19" s="103">
        <v>6</v>
      </c>
      <c r="B19" s="104" t="s">
        <v>95</v>
      </c>
      <c r="C19" s="110" t="s">
        <v>106</v>
      </c>
      <c r="D19" s="77" t="s">
        <v>194</v>
      </c>
      <c r="E19" s="191"/>
      <c r="F19" s="192"/>
      <c r="G19" s="45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</row>
    <row r="20" spans="1:23" s="44" customFormat="1" ht="22.5" x14ac:dyDescent="0.25">
      <c r="A20" s="103">
        <v>7</v>
      </c>
      <c r="B20" s="104" t="s">
        <v>96</v>
      </c>
      <c r="C20" s="110" t="s">
        <v>85</v>
      </c>
      <c r="D20" s="77" t="s">
        <v>193</v>
      </c>
      <c r="E20" s="197"/>
      <c r="F20" s="198"/>
      <c r="G20" s="45"/>
      <c r="H20" s="43"/>
      <c r="I20" s="43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</row>
    <row r="21" spans="1:23" s="44" customFormat="1" ht="33.75" x14ac:dyDescent="0.25">
      <c r="A21" s="101">
        <v>8</v>
      </c>
      <c r="B21" s="102" t="s">
        <v>97</v>
      </c>
      <c r="C21" s="109" t="s">
        <v>90</v>
      </c>
      <c r="D21" s="127"/>
      <c r="E21" s="187"/>
      <c r="F21" s="188"/>
      <c r="G21" s="45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</row>
    <row r="22" spans="1:23" s="44" customFormat="1" ht="22.5" x14ac:dyDescent="0.25">
      <c r="A22" s="101">
        <v>9</v>
      </c>
      <c r="B22" s="102" t="s">
        <v>103</v>
      </c>
      <c r="C22" s="111"/>
      <c r="D22" s="127" t="s">
        <v>194</v>
      </c>
      <c r="E22" s="187"/>
      <c r="F22" s="188"/>
      <c r="G22" s="45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</row>
    <row r="23" spans="1:23" s="44" customFormat="1" ht="15" x14ac:dyDescent="0.25">
      <c r="A23" s="101">
        <v>10</v>
      </c>
      <c r="B23" s="102"/>
      <c r="C23" s="111"/>
      <c r="D23" s="127"/>
      <c r="E23" s="187"/>
      <c r="F23" s="188"/>
      <c r="G23" s="70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</row>
    <row r="24" spans="1:23" s="44" customFormat="1" ht="22.5" x14ac:dyDescent="0.25">
      <c r="A24" s="105">
        <v>11</v>
      </c>
      <c r="B24" s="106" t="s">
        <v>98</v>
      </c>
      <c r="C24" s="110" t="s">
        <v>85</v>
      </c>
      <c r="D24" s="127"/>
      <c r="E24" s="197"/>
      <c r="F24" s="198"/>
      <c r="G24" s="65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</row>
    <row r="25" spans="1:23" s="44" customFormat="1" ht="33.75" x14ac:dyDescent="0.25">
      <c r="A25" s="101">
        <v>12</v>
      </c>
      <c r="B25" s="102" t="s">
        <v>99</v>
      </c>
      <c r="C25" s="109" t="s">
        <v>90</v>
      </c>
      <c r="D25" s="127"/>
      <c r="E25" s="187"/>
      <c r="F25" s="188"/>
      <c r="G25" s="70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</row>
    <row r="26" spans="1:23" s="44" customFormat="1" ht="22.5" x14ac:dyDescent="0.25">
      <c r="A26" s="103">
        <v>13</v>
      </c>
      <c r="B26" s="104" t="s">
        <v>101</v>
      </c>
      <c r="C26" s="110" t="s">
        <v>88</v>
      </c>
      <c r="D26" s="77" t="s">
        <v>193</v>
      </c>
      <c r="E26" s="189"/>
      <c r="F26" s="190"/>
      <c r="G26" s="45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</row>
    <row r="27" spans="1:23" s="44" customFormat="1" ht="33.75" x14ac:dyDescent="0.25">
      <c r="A27" s="103">
        <v>14</v>
      </c>
      <c r="B27" s="104" t="s">
        <v>102</v>
      </c>
      <c r="C27" s="110" t="s">
        <v>86</v>
      </c>
      <c r="D27" s="77" t="s">
        <v>194</v>
      </c>
      <c r="E27" s="197"/>
      <c r="F27" s="198"/>
      <c r="G27" s="71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</row>
    <row r="28" spans="1:23" s="44" customFormat="1" ht="22.5" x14ac:dyDescent="0.25">
      <c r="A28" s="107">
        <v>15</v>
      </c>
      <c r="B28" s="108" t="s">
        <v>93</v>
      </c>
      <c r="C28" s="110" t="s">
        <v>87</v>
      </c>
      <c r="D28" s="77" t="s">
        <v>194</v>
      </c>
      <c r="E28" s="189"/>
      <c r="F28" s="190"/>
      <c r="G28" s="45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</row>
    <row r="29" spans="1:23" customFormat="1" ht="19.899999999999999" customHeight="1" x14ac:dyDescent="0.25">
      <c r="A29" s="37"/>
      <c r="B29" s="40"/>
      <c r="C29" s="40"/>
      <c r="D29" s="40"/>
      <c r="E29" s="40"/>
      <c r="F29" s="40"/>
      <c r="G29" s="40"/>
      <c r="H29" s="40"/>
    </row>
    <row r="30" spans="1:23" customFormat="1" ht="35.450000000000003" customHeight="1" x14ac:dyDescent="0.25">
      <c r="A30" s="38"/>
      <c r="B30" s="41"/>
      <c r="C30" s="40"/>
      <c r="D30" s="40"/>
      <c r="E30" s="40"/>
      <c r="F30" s="40"/>
      <c r="G30" s="40"/>
      <c r="H30" s="40"/>
    </row>
    <row r="31" spans="1:23" customFormat="1" ht="43.9" customHeight="1" x14ac:dyDescent="0.25">
      <c r="A31" s="37"/>
      <c r="B31" s="40"/>
      <c r="C31" s="40"/>
      <c r="D31" s="40"/>
      <c r="E31" s="40"/>
      <c r="F31" s="40"/>
      <c r="G31" s="40"/>
      <c r="H31" s="40"/>
    </row>
    <row r="32" spans="1:23" customFormat="1" ht="19.899999999999999" customHeight="1" x14ac:dyDescent="0.25">
      <c r="A32" s="37"/>
      <c r="B32" s="40"/>
      <c r="C32" s="40"/>
      <c r="D32" s="40"/>
      <c r="E32" s="40"/>
      <c r="F32" s="40"/>
      <c r="G32" s="40"/>
      <c r="H32" s="40"/>
    </row>
    <row r="33" spans="1:13" customFormat="1" ht="19.899999999999999" customHeight="1" x14ac:dyDescent="0.25">
      <c r="A33" s="37"/>
      <c r="B33" s="40"/>
      <c r="C33" s="40"/>
      <c r="D33" s="40"/>
      <c r="E33" s="40"/>
      <c r="F33" s="40"/>
      <c r="G33" s="40"/>
      <c r="H33" s="40"/>
    </row>
    <row r="34" spans="1:13" x14ac:dyDescent="0.2">
      <c r="A34" s="15" t="s">
        <v>11</v>
      </c>
      <c r="B34" s="196" t="s">
        <v>190</v>
      </c>
      <c r="C34" s="196"/>
      <c r="D34" s="196"/>
      <c r="E34" s="196"/>
      <c r="F34" s="196"/>
      <c r="G34" s="196"/>
      <c r="H34" s="196"/>
    </row>
    <row r="35" spans="1:13" s="8" customFormat="1" x14ac:dyDescent="0.2">
      <c r="A35" s="3"/>
      <c r="B35" s="3"/>
      <c r="C35" s="3"/>
      <c r="D35" s="3"/>
      <c r="E35" s="3"/>
      <c r="F35" s="3"/>
      <c r="G35" s="3"/>
      <c r="H35" s="3"/>
    </row>
    <row r="36" spans="1:13" s="8" customFormat="1" x14ac:dyDescent="0.2">
      <c r="A36" s="3" t="s">
        <v>64</v>
      </c>
      <c r="B36" s="3"/>
      <c r="C36" s="3" t="str">
        <f>'Титульный лист'!B29</f>
        <v>инженер</v>
      </c>
      <c r="D36" s="2"/>
      <c r="E36" s="2"/>
      <c r="F36" s="2"/>
      <c r="G36" s="3" t="str">
        <f>'Титульный лист'!C29</f>
        <v>Блинник А.В.</v>
      </c>
      <c r="H36" s="3"/>
    </row>
    <row r="37" spans="1:13" ht="15.75" customHeight="1" x14ac:dyDescent="0.2">
      <c r="A37" s="3" t="s">
        <v>65</v>
      </c>
      <c r="C37" s="3" t="str">
        <f>'Титульный лист'!B30</f>
        <v>инженер</v>
      </c>
      <c r="D37" s="2"/>
      <c r="E37" s="2"/>
      <c r="F37" s="2"/>
      <c r="G37" s="3">
        <f>'Титульный лист'!C30</f>
        <v>0</v>
      </c>
    </row>
    <row r="38" spans="1:13" s="8" customFormat="1" x14ac:dyDescent="0.2">
      <c r="A38" s="3" t="str">
        <f>'Контрольная карта'!A53:I53</f>
        <v xml:space="preserve"> </v>
      </c>
      <c r="B38" s="3"/>
      <c r="C38" s="3" t="str">
        <f>'Титульный лист'!B31</f>
        <v xml:space="preserve"> </v>
      </c>
      <c r="D38" s="18"/>
      <c r="E38" s="18"/>
      <c r="F38" s="18"/>
      <c r="G38" s="3" t="str">
        <f>'Титульный лист'!C31</f>
        <v xml:space="preserve"> </v>
      </c>
      <c r="H38" s="3"/>
    </row>
    <row r="39" spans="1:13" x14ac:dyDescent="0.2">
      <c r="A39" s="3" t="s">
        <v>5</v>
      </c>
      <c r="C39" s="3" t="str">
        <f>'Титульный лист'!B32</f>
        <v>руководитель</v>
      </c>
      <c r="D39" s="2"/>
      <c r="E39" s="2"/>
      <c r="F39" s="2"/>
      <c r="G39" s="3" t="str">
        <f>'Титульный лист'!C32</f>
        <v>Смирнов С.А.</v>
      </c>
    </row>
    <row r="47" spans="1:13" x14ac:dyDescent="0.2">
      <c r="M47" s="3" t="s">
        <v>68</v>
      </c>
    </row>
    <row r="56" spans="10:11" x14ac:dyDescent="0.2">
      <c r="J56" s="16"/>
    </row>
    <row r="57" spans="10:11" x14ac:dyDescent="0.2">
      <c r="K57" s="3" t="s">
        <v>68</v>
      </c>
    </row>
    <row r="71" spans="1:8" s="8" customFormat="1" x14ac:dyDescent="0.2">
      <c r="A71" s="3"/>
      <c r="B71" s="3"/>
      <c r="C71" s="3"/>
      <c r="D71" s="3"/>
      <c r="E71" s="3"/>
      <c r="F71" s="3"/>
      <c r="G71" s="3"/>
      <c r="H71" s="3"/>
    </row>
    <row r="72" spans="1:8" s="8" customFormat="1" x14ac:dyDescent="0.2">
      <c r="A72" s="3"/>
      <c r="B72" s="3"/>
      <c r="C72" s="3"/>
      <c r="D72" s="3"/>
      <c r="E72" s="3"/>
      <c r="F72" s="3"/>
      <c r="G72" s="3"/>
      <c r="H72" s="3"/>
    </row>
    <row r="73" spans="1:8" s="8" customFormat="1" x14ac:dyDescent="0.2">
      <c r="A73" s="3"/>
      <c r="B73" s="3"/>
      <c r="C73" s="3"/>
      <c r="D73" s="3"/>
      <c r="E73" s="3"/>
      <c r="F73" s="3"/>
      <c r="G73" s="3"/>
      <c r="H73" s="3"/>
    </row>
    <row r="74" spans="1:8" s="8" customFormat="1" x14ac:dyDescent="0.2">
      <c r="A74" s="3"/>
      <c r="B74" s="3"/>
      <c r="C74" s="3"/>
      <c r="D74" s="3"/>
      <c r="E74" s="3"/>
      <c r="F74" s="3"/>
      <c r="G74" s="3"/>
      <c r="H74" s="3"/>
    </row>
    <row r="75" spans="1:8" s="8" customFormat="1" x14ac:dyDescent="0.2">
      <c r="A75" s="3"/>
      <c r="B75" s="3"/>
      <c r="C75" s="3"/>
      <c r="D75" s="3"/>
      <c r="E75" s="3"/>
      <c r="F75" s="3"/>
      <c r="G75" s="3"/>
      <c r="H75" s="3"/>
    </row>
    <row r="76" spans="1:8" s="8" customFormat="1" x14ac:dyDescent="0.2">
      <c r="A76" s="3"/>
      <c r="B76" s="3"/>
      <c r="C76" s="3"/>
      <c r="D76" s="3"/>
      <c r="E76" s="3"/>
      <c r="F76" s="3"/>
      <c r="G76" s="3"/>
      <c r="H76" s="3"/>
    </row>
    <row r="77" spans="1:8" s="8" customFormat="1" x14ac:dyDescent="0.2">
      <c r="A77" s="3"/>
      <c r="B77" s="3"/>
      <c r="C77" s="3"/>
      <c r="D77" s="3"/>
      <c r="E77" s="3"/>
      <c r="F77" s="3"/>
      <c r="G77" s="3"/>
      <c r="H77" s="3"/>
    </row>
    <row r="78" spans="1:8" s="8" customFormat="1" x14ac:dyDescent="0.2">
      <c r="A78" s="3"/>
      <c r="B78" s="3"/>
      <c r="C78" s="3"/>
      <c r="D78" s="3"/>
      <c r="E78" s="3"/>
      <c r="F78" s="3"/>
      <c r="G78" s="3"/>
      <c r="H78" s="3"/>
    </row>
    <row r="79" spans="1:8" s="8" customFormat="1" x14ac:dyDescent="0.2">
      <c r="A79" s="3"/>
      <c r="B79" s="3"/>
      <c r="C79" s="3"/>
      <c r="D79" s="3"/>
      <c r="E79" s="3"/>
      <c r="F79" s="3"/>
      <c r="G79" s="3"/>
      <c r="H79" s="3"/>
    </row>
    <row r="80" spans="1:8" s="8" customFormat="1" x14ac:dyDescent="0.2">
      <c r="A80" s="3"/>
      <c r="B80" s="3"/>
      <c r="C80" s="3"/>
      <c r="D80" s="3"/>
      <c r="E80" s="3"/>
      <c r="F80" s="3"/>
      <c r="G80" s="3"/>
      <c r="H80" s="3"/>
    </row>
    <row r="81" spans="1:8" s="8" customFormat="1" x14ac:dyDescent="0.2">
      <c r="A81" s="3"/>
      <c r="B81" s="3"/>
      <c r="C81" s="3"/>
      <c r="D81" s="3"/>
      <c r="E81" s="3"/>
      <c r="F81" s="3"/>
      <c r="G81" s="3"/>
      <c r="H81" s="3"/>
    </row>
    <row r="82" spans="1:8" s="8" customFormat="1" x14ac:dyDescent="0.2">
      <c r="A82" s="3"/>
      <c r="B82" s="3"/>
      <c r="C82" s="3"/>
      <c r="D82" s="3"/>
      <c r="E82" s="3"/>
      <c r="F82" s="3"/>
      <c r="G82" s="3"/>
      <c r="H82" s="3"/>
    </row>
    <row r="83" spans="1:8" s="8" customFormat="1" x14ac:dyDescent="0.2">
      <c r="A83" s="3"/>
      <c r="B83" s="3"/>
      <c r="C83" s="3"/>
      <c r="D83" s="3"/>
      <c r="E83" s="3"/>
      <c r="F83" s="3"/>
      <c r="G83" s="3"/>
      <c r="H83" s="3"/>
    </row>
    <row r="84" spans="1:8" s="8" customFormat="1" x14ac:dyDescent="0.2">
      <c r="A84" s="3"/>
      <c r="B84" s="3"/>
      <c r="C84" s="3"/>
      <c r="D84" s="3"/>
      <c r="E84" s="3"/>
      <c r="F84" s="3"/>
      <c r="G84" s="3"/>
      <c r="H84" s="3"/>
    </row>
    <row r="85" spans="1:8" s="8" customFormat="1" x14ac:dyDescent="0.2">
      <c r="A85" s="3"/>
      <c r="B85" s="3"/>
      <c r="C85" s="3"/>
      <c r="D85" s="3"/>
      <c r="E85" s="3"/>
      <c r="F85" s="3"/>
      <c r="G85" s="3"/>
      <c r="H85" s="3"/>
    </row>
    <row r="86" spans="1:8" s="8" customFormat="1" x14ac:dyDescent="0.2">
      <c r="A86" s="3"/>
      <c r="B86" s="3"/>
      <c r="C86" s="3"/>
      <c r="D86" s="3"/>
      <c r="E86" s="3"/>
      <c r="F86" s="3"/>
      <c r="G86" s="3"/>
      <c r="H86" s="3"/>
    </row>
    <row r="87" spans="1:8" s="8" customFormat="1" x14ac:dyDescent="0.2">
      <c r="A87" s="3"/>
      <c r="B87" s="3"/>
      <c r="C87" s="3"/>
      <c r="D87" s="3"/>
      <c r="E87" s="3"/>
      <c r="F87" s="3"/>
      <c r="G87" s="3"/>
      <c r="H87" s="3"/>
    </row>
    <row r="91" spans="1:8" s="15" customFormat="1" x14ac:dyDescent="0.2">
      <c r="A91" s="3"/>
      <c r="B91" s="3"/>
      <c r="C91" s="3"/>
      <c r="D91" s="3"/>
      <c r="E91" s="3"/>
      <c r="F91" s="3"/>
      <c r="G91" s="3"/>
      <c r="H91" s="3"/>
    </row>
  </sheetData>
  <sheetProtection password="CF7A" sheet="1" objects="1" scenarios="1"/>
  <mergeCells count="24">
    <mergeCell ref="B34:H34"/>
    <mergeCell ref="A2:H2"/>
    <mergeCell ref="D4:H4"/>
    <mergeCell ref="C5:H5"/>
    <mergeCell ref="A4:B4"/>
    <mergeCell ref="A5:B5"/>
    <mergeCell ref="E16:F16"/>
    <mergeCell ref="E17:F17"/>
    <mergeCell ref="E26:F26"/>
    <mergeCell ref="E27:F27"/>
    <mergeCell ref="E28:F28"/>
    <mergeCell ref="E23:F23"/>
    <mergeCell ref="E24:F24"/>
    <mergeCell ref="E25:F25"/>
    <mergeCell ref="E20:F20"/>
    <mergeCell ref="E21:F21"/>
    <mergeCell ref="E22:F22"/>
    <mergeCell ref="E18:F18"/>
    <mergeCell ref="E19:F19"/>
    <mergeCell ref="B11:E11"/>
    <mergeCell ref="E12:F12"/>
    <mergeCell ref="E13:F13"/>
    <mergeCell ref="E14:F14"/>
    <mergeCell ref="E15:F15"/>
  </mergeCells>
  <phoneticPr fontId="9" type="noConversion"/>
  <dataValidations count="3">
    <dataValidation allowBlank="1" sqref="H13:I13 B13"/>
    <dataValidation allowBlank="1" showErrorMessage="1" sqref="D13:D14"/>
    <dataValidation type="list" allowBlank="1" showErrorMessage="1" sqref="D15:D28">
      <formula1>"OK,NOK,NA"</formula1>
    </dataValidation>
  </dataValidations>
  <pageMargins left="0.7" right="0.7" top="0.75" bottom="0.75" header="0.3" footer="0.3"/>
  <pageSetup paperSize="9" scale="78" orientation="portrait" horizontalDpi="300" verticalDpi="300" r:id="rId1"/>
  <colBreaks count="1" manualBreakCount="1">
    <brk id="7" max="34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10</vt:i4>
      </vt:variant>
    </vt:vector>
  </HeadingPairs>
  <TitlesOfParts>
    <vt:vector size="23" baseType="lpstr">
      <vt:lpstr>Титульный лист</vt:lpstr>
      <vt:lpstr>Контрольная карта</vt:lpstr>
      <vt:lpstr>ЭПУ</vt:lpstr>
      <vt:lpstr>ЭПУ (2)</vt:lpstr>
      <vt:lpstr>ЭПУ (3)</vt:lpstr>
      <vt:lpstr>ЭПУ (4)</vt:lpstr>
      <vt:lpstr>ЭПУ (5)</vt:lpstr>
      <vt:lpstr>ЭПУ (6)</vt:lpstr>
      <vt:lpstr>ЭПУ (7)</vt:lpstr>
      <vt:lpstr>ЭПУ (8)</vt:lpstr>
      <vt:lpstr>ЭПУ (9)</vt:lpstr>
      <vt:lpstr>ЭПУ (10)</vt:lpstr>
      <vt:lpstr>Сухие контакты</vt:lpstr>
      <vt:lpstr>ЭПУ!Область_печати</vt:lpstr>
      <vt:lpstr>'ЭПУ (10)'!Область_печати</vt:lpstr>
      <vt:lpstr>'ЭПУ (2)'!Область_печати</vt:lpstr>
      <vt:lpstr>'ЭПУ (3)'!Область_печати</vt:lpstr>
      <vt:lpstr>'ЭПУ (4)'!Область_печати</vt:lpstr>
      <vt:lpstr>'ЭПУ (5)'!Область_печати</vt:lpstr>
      <vt:lpstr>'ЭПУ (6)'!Область_печати</vt:lpstr>
      <vt:lpstr>'ЭПУ (7)'!Область_печати</vt:lpstr>
      <vt:lpstr>'ЭПУ (8)'!Область_печати</vt:lpstr>
      <vt:lpstr>'ЭПУ (9)'!Область_печати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Качарский Дмитрий</dc:creator>
  <cp:lastModifiedBy>Артем Блинник</cp:lastModifiedBy>
  <dcterms:created xsi:type="dcterms:W3CDTF">2006-09-16T00:00:00Z</dcterms:created>
  <dcterms:modified xsi:type="dcterms:W3CDTF">2020-10-30T09:23:31Z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